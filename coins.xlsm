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4" codeName="{C80E003A-6C80-AF87-3323-10F97C11A349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annisborn/Dropbox/github/telegram-coin-bot/"/>
    </mc:Choice>
  </mc:AlternateContent>
  <xr:revisionPtr revIDLastSave="0" documentId="13_ncr:1_{AF6D2843-9F81-A94D-997D-7503FAF02898}" xr6:coauthVersionLast="47" xr6:coauthVersionMax="47" xr10:uidLastSave="{00000000-0000-0000-0000-000000000000}"/>
  <bookViews>
    <workbookView xWindow="2260" yWindow="2820" windowWidth="28800" windowHeight="16420" activeTab="1" xr2:uid="{00000000-000D-0000-FFFF-FFFF00000000}"/>
  </bookViews>
  <sheets>
    <sheet name="Deutschland" sheetId="3" r:id="rId1"/>
    <sheet name="EU" sheetId="2" r:id="rId2"/>
    <sheet name="Sondermünzen" sheetId="1" r:id="rId3"/>
    <sheet name="Notizen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58" i="2" l="1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4" i="2"/>
  <c r="AJ5" i="2"/>
  <c r="AJ6" i="2"/>
  <c r="AJ7" i="2"/>
  <c r="AJ3" i="2"/>
  <c r="AF224" i="2"/>
  <c r="AF226" i="2"/>
  <c r="AF227" i="2"/>
  <c r="AF228" i="2"/>
  <c r="AF230" i="2"/>
  <c r="AF225" i="2"/>
  <c r="AF229" i="2"/>
  <c r="AF223" i="2"/>
  <c r="AF213" i="2"/>
  <c r="AF214" i="2"/>
  <c r="AF215" i="2"/>
  <c r="AF216" i="2"/>
  <c r="AF217" i="2"/>
  <c r="AF218" i="2"/>
  <c r="AF219" i="2"/>
  <c r="AF212" i="2"/>
  <c r="AF202" i="2"/>
  <c r="AF206" i="2"/>
  <c r="AF208" i="2"/>
  <c r="AF203" i="2"/>
  <c r="AF207" i="2"/>
  <c r="AF204" i="2"/>
  <c r="AF205" i="2"/>
  <c r="AF201" i="2"/>
  <c r="AF191" i="2"/>
  <c r="AF193" i="2"/>
  <c r="AF194" i="2"/>
  <c r="AF195" i="2"/>
  <c r="AF196" i="2"/>
  <c r="AF192" i="2"/>
  <c r="AF197" i="2"/>
  <c r="AF190" i="2"/>
  <c r="AF180" i="2"/>
  <c r="AF182" i="2"/>
  <c r="AF183" i="2"/>
  <c r="AF184" i="2"/>
  <c r="AF181" i="2"/>
  <c r="AF185" i="2"/>
  <c r="AF186" i="2"/>
  <c r="AF179" i="2"/>
  <c r="AF169" i="2"/>
  <c r="AF171" i="2"/>
  <c r="AF172" i="2"/>
  <c r="AF173" i="2"/>
  <c r="AF170" i="2"/>
  <c r="AF174" i="2"/>
  <c r="AF175" i="2"/>
  <c r="AF168" i="2"/>
  <c r="AF158" i="2"/>
  <c r="AF161" i="2"/>
  <c r="AF162" i="2"/>
  <c r="AF163" i="2"/>
  <c r="AF164" i="2"/>
  <c r="AF159" i="2"/>
  <c r="AF160" i="2"/>
  <c r="AF157" i="2"/>
  <c r="AF147" i="2"/>
  <c r="AF149" i="2"/>
  <c r="AF150" i="2"/>
  <c r="AF151" i="2"/>
  <c r="AF153" i="2"/>
  <c r="AF148" i="2"/>
  <c r="AF152" i="2"/>
  <c r="AF146" i="2"/>
  <c r="AF136" i="2"/>
  <c r="AF138" i="2"/>
  <c r="AF139" i="2"/>
  <c r="AF142" i="2"/>
  <c r="AF137" i="2"/>
  <c r="AF140" i="2"/>
  <c r="AF141" i="2"/>
  <c r="AF135" i="2"/>
  <c r="AF125" i="2"/>
  <c r="AF128" i="2"/>
  <c r="AF129" i="2"/>
  <c r="AF126" i="2"/>
  <c r="AF127" i="2"/>
  <c r="AF130" i="2"/>
  <c r="AF131" i="2"/>
  <c r="AF124" i="2"/>
  <c r="AF120" i="2"/>
  <c r="AF114" i="2"/>
  <c r="AF115" i="2"/>
  <c r="AF116" i="2"/>
  <c r="AF118" i="2"/>
  <c r="AF117" i="2"/>
  <c r="AF119" i="2"/>
  <c r="AF113" i="2"/>
  <c r="AF103" i="2"/>
  <c r="AF104" i="2"/>
  <c r="AF105" i="2"/>
  <c r="AF106" i="2"/>
  <c r="AF107" i="2"/>
  <c r="AF109" i="2"/>
  <c r="AF108" i="2"/>
  <c r="AF102" i="2"/>
  <c r="AF92" i="2"/>
  <c r="AF96" i="2"/>
  <c r="AF98" i="2"/>
  <c r="AF93" i="2"/>
  <c r="AF95" i="2"/>
  <c r="AF97" i="2"/>
  <c r="AF94" i="2"/>
  <c r="AF91" i="2"/>
  <c r="AF81" i="2"/>
  <c r="AF82" i="2"/>
  <c r="AF83" i="2"/>
  <c r="AF84" i="2"/>
  <c r="AF85" i="2"/>
  <c r="AF86" i="2"/>
  <c r="AF87" i="2"/>
  <c r="AF80" i="2"/>
  <c r="AF70" i="2"/>
  <c r="AF72" i="2"/>
  <c r="AF73" i="2"/>
  <c r="AF74" i="2"/>
  <c r="AF75" i="2"/>
  <c r="AF76" i="2"/>
  <c r="AF71" i="2"/>
  <c r="AF69" i="2"/>
  <c r="AF59" i="2"/>
  <c r="AF64" i="2"/>
  <c r="AF60" i="2"/>
  <c r="AF61" i="2"/>
  <c r="AF65" i="2"/>
  <c r="AF62" i="2"/>
  <c r="AF63" i="2"/>
  <c r="AF58" i="2"/>
  <c r="AF48" i="2"/>
  <c r="AF53" i="2"/>
  <c r="AF54" i="2"/>
  <c r="AF49" i="2"/>
  <c r="AF52" i="2"/>
  <c r="AF50" i="2"/>
  <c r="AF51" i="2"/>
  <c r="AF47" i="2"/>
  <c r="AF37" i="2"/>
  <c r="AF39" i="2"/>
  <c r="AF38" i="2"/>
  <c r="AF40" i="2"/>
  <c r="AF41" i="2"/>
  <c r="AF42" i="2"/>
  <c r="AF43" i="2"/>
  <c r="AF36" i="2"/>
  <c r="AF26" i="2"/>
  <c r="AF27" i="2"/>
  <c r="AF28" i="2"/>
  <c r="AF29" i="2"/>
  <c r="AF30" i="2"/>
  <c r="AF31" i="2"/>
  <c r="AF32" i="2"/>
  <c r="AF25" i="2"/>
  <c r="AF15" i="2"/>
  <c r="AF17" i="2"/>
  <c r="AF18" i="2"/>
  <c r="AF20" i="2"/>
  <c r="AF21" i="2"/>
  <c r="AF16" i="2"/>
  <c r="AF19" i="2"/>
  <c r="AF14" i="2"/>
  <c r="AF4" i="2"/>
  <c r="AF6" i="2"/>
  <c r="AF7" i="2"/>
  <c r="AF8" i="2"/>
  <c r="AF5" i="2"/>
  <c r="AF10" i="2"/>
  <c r="AF9" i="2"/>
  <c r="AF3" i="2"/>
  <c r="C107" i="1" l="1"/>
  <c r="C108" i="1" s="1"/>
  <c r="AE224" i="2"/>
  <c r="AE226" i="2"/>
  <c r="AE227" i="2"/>
  <c r="AE228" i="2"/>
  <c r="AE229" i="2"/>
  <c r="AE230" i="2"/>
  <c r="AE225" i="2"/>
  <c r="AE223" i="2"/>
  <c r="AE213" i="2"/>
  <c r="AE215" i="2"/>
  <c r="AE216" i="2"/>
  <c r="AE217" i="2"/>
  <c r="AE218" i="2"/>
  <c r="AE219" i="2"/>
  <c r="AE214" i="2"/>
  <c r="AE212" i="2"/>
  <c r="AE202" i="2"/>
  <c r="AE207" i="2"/>
  <c r="AE208" i="2"/>
  <c r="AE203" i="2"/>
  <c r="AE206" i="2"/>
  <c r="AE204" i="2"/>
  <c r="AE205" i="2"/>
  <c r="AE201" i="2"/>
  <c r="AE191" i="2"/>
  <c r="AE194" i="2"/>
  <c r="AE195" i="2"/>
  <c r="AE192" i="2"/>
  <c r="AE196" i="2"/>
  <c r="AE193" i="2"/>
  <c r="AE197" i="2"/>
  <c r="AE190" i="2"/>
  <c r="AE179" i="2"/>
  <c r="AE169" i="2"/>
  <c r="AE171" i="2"/>
  <c r="AE172" i="2"/>
  <c r="AE173" i="2"/>
  <c r="AE174" i="2"/>
  <c r="AE175" i="2"/>
  <c r="AE170" i="2"/>
  <c r="AE168" i="2"/>
  <c r="AE158" i="2"/>
  <c r="AE161" i="2"/>
  <c r="AE162" i="2"/>
  <c r="AE163" i="2"/>
  <c r="AE164" i="2"/>
  <c r="AE159" i="2"/>
  <c r="AE160" i="2"/>
  <c r="AE157" i="2"/>
  <c r="AE147" i="2"/>
  <c r="AE151" i="2"/>
  <c r="AE152" i="2"/>
  <c r="AE153" i="2"/>
  <c r="AE148" i="2"/>
  <c r="AE149" i="2"/>
  <c r="AE150" i="2"/>
  <c r="AE146" i="2"/>
  <c r="AE136" i="2"/>
  <c r="AE141" i="2"/>
  <c r="AE142" i="2"/>
  <c r="AE137" i="2"/>
  <c r="AE138" i="2"/>
  <c r="AE140" i="2"/>
  <c r="AE139" i="2"/>
  <c r="AE135" i="2"/>
  <c r="AE125" i="2"/>
  <c r="AE128" i="2"/>
  <c r="AE129" i="2"/>
  <c r="AE130" i="2"/>
  <c r="AE131" i="2"/>
  <c r="AE126" i="2"/>
  <c r="AE127" i="2"/>
  <c r="AE124" i="2"/>
  <c r="AE114" i="2"/>
  <c r="AE116" i="2"/>
  <c r="AE117" i="2"/>
  <c r="AE118" i="2"/>
  <c r="AE119" i="2"/>
  <c r="AE120" i="2"/>
  <c r="AE115" i="2"/>
  <c r="AE113" i="2"/>
  <c r="AE103" i="2"/>
  <c r="AE109" i="2"/>
  <c r="AE105" i="2"/>
  <c r="AE106" i="2"/>
  <c r="AE104" i="2"/>
  <c r="AE108" i="2"/>
  <c r="AE107" i="2"/>
  <c r="AE102" i="2"/>
  <c r="AE92" i="2"/>
  <c r="AE96" i="2"/>
  <c r="AE94" i="2"/>
  <c r="AE95" i="2"/>
  <c r="AE97" i="2"/>
  <c r="AE93" i="2"/>
  <c r="AE98" i="2"/>
  <c r="AE91" i="2"/>
  <c r="AE81" i="2"/>
  <c r="AE82" i="2"/>
  <c r="AE86" i="2"/>
  <c r="AE85" i="2"/>
  <c r="AE87" i="2"/>
  <c r="AE84" i="2"/>
  <c r="AE83" i="2"/>
  <c r="AE80" i="2"/>
  <c r="AE70" i="2"/>
  <c r="AE73" i="2"/>
  <c r="AE74" i="2"/>
  <c r="AE75" i="2"/>
  <c r="AE76" i="2"/>
  <c r="AE71" i="2"/>
  <c r="AE72" i="2"/>
  <c r="AE69" i="2"/>
  <c r="AE59" i="2"/>
  <c r="AE62" i="2"/>
  <c r="AE63" i="2"/>
  <c r="AE64" i="2"/>
  <c r="AE65" i="2"/>
  <c r="AE60" i="2"/>
  <c r="AE61" i="2"/>
  <c r="AE58" i="2"/>
  <c r="AE48" i="2"/>
  <c r="AE54" i="2"/>
  <c r="AE49" i="2"/>
  <c r="AE53" i="2"/>
  <c r="AE50" i="2"/>
  <c r="AE51" i="2"/>
  <c r="AE52" i="2"/>
  <c r="AE47" i="2"/>
  <c r="AE37" i="2"/>
  <c r="AE40" i="2"/>
  <c r="AE41" i="2"/>
  <c r="AE42" i="2"/>
  <c r="AE43" i="2"/>
  <c r="AE38" i="2"/>
  <c r="AE39" i="2"/>
  <c r="AE36" i="2"/>
  <c r="AE32" i="2"/>
  <c r="AE26" i="2"/>
  <c r="AE30" i="2"/>
  <c r="AE31" i="2"/>
  <c r="AE28" i="2"/>
  <c r="AE29" i="2"/>
  <c r="AE27" i="2"/>
  <c r="AE25" i="2"/>
  <c r="AE15" i="2"/>
  <c r="AE17" i="2"/>
  <c r="AE18" i="2"/>
  <c r="AE19" i="2"/>
  <c r="AE20" i="2"/>
  <c r="AE21" i="2"/>
  <c r="AE16" i="2"/>
  <c r="AE14" i="2"/>
  <c r="AE4" i="2"/>
  <c r="AE6" i="2"/>
  <c r="AE7" i="2"/>
  <c r="AE8" i="2"/>
  <c r="AE9" i="2"/>
  <c r="AE10" i="2"/>
  <c r="AE5" i="2"/>
  <c r="AE3" i="2"/>
  <c r="AD7" i="3"/>
  <c r="AC5" i="3"/>
  <c r="AE183" i="2"/>
  <c r="AD8" i="3"/>
  <c r="AE186" i="2"/>
  <c r="AD4" i="3"/>
  <c r="AE182" i="2"/>
  <c r="AE184" i="2"/>
  <c r="AD6" i="3"/>
  <c r="AC8" i="3"/>
  <c r="AE181" i="2"/>
  <c r="AC7" i="3"/>
  <c r="AE180" i="2"/>
  <c r="AC4" i="3"/>
  <c r="AC6" i="3"/>
  <c r="AC10" i="3"/>
  <c r="AD10" i="3"/>
  <c r="AD11" i="3"/>
  <c r="AC9" i="3"/>
  <c r="AC11" i="3"/>
  <c r="AE185" i="2"/>
  <c r="AD9" i="3"/>
  <c r="AD5" i="3"/>
  <c r="D199" i="1"/>
  <c r="AH115" i="2" l="1"/>
  <c r="AG115" i="2"/>
  <c r="AH152" i="2"/>
  <c r="AG152" i="2"/>
  <c r="AF33" i="2"/>
  <c r="AH15" i="2"/>
  <c r="AG15" i="2"/>
  <c r="AH9" i="2"/>
  <c r="AH229" i="2"/>
  <c r="AG229" i="2"/>
  <c r="AG17" i="2"/>
  <c r="AH17" i="2"/>
  <c r="AH7" i="2"/>
  <c r="AG223" i="2"/>
  <c r="AE231" i="2"/>
  <c r="AH223" i="2"/>
  <c r="AH192" i="2"/>
  <c r="AG192" i="2"/>
  <c r="AG140" i="2"/>
  <c r="AH140" i="2"/>
  <c r="AG215" i="2"/>
  <c r="AH215" i="2"/>
  <c r="AG228" i="2"/>
  <c r="AH228" i="2"/>
  <c r="AG183" i="2"/>
  <c r="AH183" i="2"/>
  <c r="AG42" i="2"/>
  <c r="AH42" i="2"/>
  <c r="AG107" i="2"/>
  <c r="AH107" i="2"/>
  <c r="AG52" i="2"/>
  <c r="AH52" i="2"/>
  <c r="AH106" i="2"/>
  <c r="AG106" i="2"/>
  <c r="AF77" i="2"/>
  <c r="AH54" i="2"/>
  <c r="AG54" i="2"/>
  <c r="AG161" i="2"/>
  <c r="AH161" i="2"/>
  <c r="AH53" i="2"/>
  <c r="AG53" i="2"/>
  <c r="AH70" i="2"/>
  <c r="AG70" i="2"/>
  <c r="AG163" i="2"/>
  <c r="AH163" i="2"/>
  <c r="AH104" i="2"/>
  <c r="AG104" i="2"/>
  <c r="AG127" i="2"/>
  <c r="AH127" i="2"/>
  <c r="AG29" i="2"/>
  <c r="AH29" i="2"/>
  <c r="AH118" i="2"/>
  <c r="AG118" i="2"/>
  <c r="AF154" i="2"/>
  <c r="AE143" i="2"/>
  <c r="AH135" i="2"/>
  <c r="AG135" i="2"/>
  <c r="AG141" i="2"/>
  <c r="AH141" i="2"/>
  <c r="AH146" i="2"/>
  <c r="AG146" i="2"/>
  <c r="AE154" i="2"/>
  <c r="AG154" i="2" s="1"/>
  <c r="AH16" i="2"/>
  <c r="AG16" i="2"/>
  <c r="AH86" i="2"/>
  <c r="AG86" i="2"/>
  <c r="AG84" i="2"/>
  <c r="AH84" i="2"/>
  <c r="AG62" i="2"/>
  <c r="AH62" i="2"/>
  <c r="AG119" i="2"/>
  <c r="AH119" i="2"/>
  <c r="AF44" i="2"/>
  <c r="AG136" i="2"/>
  <c r="AH136" i="2"/>
  <c r="AG130" i="2"/>
  <c r="AH130" i="2"/>
  <c r="AG98" i="2"/>
  <c r="AH98" i="2"/>
  <c r="AH92" i="2"/>
  <c r="AG92" i="2"/>
  <c r="AD12" i="3"/>
  <c r="AH203" i="2"/>
  <c r="AG203" i="2"/>
  <c r="AG170" i="2"/>
  <c r="AH170" i="2"/>
  <c r="AH194" i="2"/>
  <c r="AG194" i="2"/>
  <c r="AH207" i="2"/>
  <c r="AG207" i="2"/>
  <c r="AG39" i="2"/>
  <c r="AH39" i="2"/>
  <c r="AG95" i="2"/>
  <c r="AH95" i="2"/>
  <c r="AG224" i="2"/>
  <c r="AH224" i="2"/>
  <c r="AG31" i="2"/>
  <c r="AH31" i="2"/>
  <c r="AH128" i="2"/>
  <c r="AG128" i="2"/>
  <c r="AH6" i="2"/>
  <c r="AF11" i="3"/>
  <c r="AE11" i="3"/>
  <c r="AG116" i="2"/>
  <c r="AH116" i="2"/>
  <c r="AG159" i="2"/>
  <c r="AH159" i="2"/>
  <c r="AG97" i="2"/>
  <c r="AH97" i="2"/>
  <c r="AH191" i="2"/>
  <c r="AG191" i="2"/>
  <c r="AG158" i="2"/>
  <c r="AH158" i="2"/>
  <c r="AF198" i="2"/>
  <c r="AE5" i="3"/>
  <c r="AF5" i="3"/>
  <c r="AH96" i="2"/>
  <c r="AF66" i="2"/>
  <c r="AG65" i="2"/>
  <c r="AH65" i="2"/>
  <c r="AH185" i="2"/>
  <c r="AG185" i="2"/>
  <c r="AF209" i="2"/>
  <c r="AG114" i="2"/>
  <c r="AH114" i="2"/>
  <c r="AG120" i="2"/>
  <c r="AH120" i="2"/>
  <c r="AH64" i="2"/>
  <c r="AG64" i="2"/>
  <c r="AH61" i="2"/>
  <c r="AG61" i="2"/>
  <c r="AH175" i="2"/>
  <c r="AG175" i="2"/>
  <c r="AG72" i="2"/>
  <c r="AH72" i="2"/>
  <c r="AE22" i="2"/>
  <c r="AH14" i="2"/>
  <c r="AG14" i="2"/>
  <c r="AH60" i="2"/>
  <c r="AG60" i="2"/>
  <c r="AG181" i="2"/>
  <c r="AH181" i="2"/>
  <c r="AH8" i="2"/>
  <c r="AH225" i="2"/>
  <c r="AG225" i="2"/>
  <c r="AF55" i="2"/>
  <c r="AG43" i="2"/>
  <c r="AH43" i="2"/>
  <c r="AH108" i="2"/>
  <c r="AG108" i="2"/>
  <c r="AG213" i="2"/>
  <c r="AH213" i="2"/>
  <c r="AG205" i="2"/>
  <c r="AH205" i="2"/>
  <c r="AE77" i="2"/>
  <c r="AH69" i="2"/>
  <c r="AG69" i="2"/>
  <c r="AE176" i="2"/>
  <c r="AG168" i="2"/>
  <c r="AH168" i="2"/>
  <c r="AG131" i="2"/>
  <c r="AH131" i="2"/>
  <c r="AH125" i="2"/>
  <c r="AG125" i="2"/>
  <c r="AH32" i="2"/>
  <c r="AG32" i="2"/>
  <c r="AH48" i="2"/>
  <c r="AG48" i="2"/>
  <c r="AG18" i="2"/>
  <c r="AH18" i="2"/>
  <c r="AF6" i="3"/>
  <c r="AE6" i="3"/>
  <c r="AH103" i="2"/>
  <c r="AG103" i="2"/>
  <c r="AH138" i="2"/>
  <c r="AG138" i="2"/>
  <c r="AH214" i="2"/>
  <c r="AG226" i="2"/>
  <c r="AH226" i="2"/>
  <c r="AG216" i="2"/>
  <c r="AH216" i="2"/>
  <c r="AH147" i="2"/>
  <c r="AG147" i="2"/>
  <c r="AE220" i="2"/>
  <c r="AG212" i="2"/>
  <c r="AH212" i="2"/>
  <c r="AF176" i="2"/>
  <c r="AG94" i="2"/>
  <c r="AH94" i="2"/>
  <c r="AH81" i="2"/>
  <c r="AG81" i="2"/>
  <c r="AH59" i="2"/>
  <c r="AG59" i="2"/>
  <c r="AG173" i="2"/>
  <c r="AH173" i="2"/>
  <c r="AH25" i="2"/>
  <c r="AG25" i="2"/>
  <c r="AE33" i="2"/>
  <c r="AG71" i="2"/>
  <c r="AH71" i="2"/>
  <c r="AF132" i="2"/>
  <c r="AF22" i="2"/>
  <c r="AF143" i="2"/>
  <c r="AH153" i="2"/>
  <c r="AG153" i="2"/>
  <c r="AH204" i="2"/>
  <c r="AG204" i="2"/>
  <c r="AH129" i="2"/>
  <c r="AG129" i="2"/>
  <c r="AG76" i="2"/>
  <c r="AH76" i="2"/>
  <c r="AH20" i="2"/>
  <c r="AG20" i="2"/>
  <c r="AH171" i="2"/>
  <c r="AG171" i="2"/>
  <c r="AH174" i="2"/>
  <c r="AG174" i="2"/>
  <c r="AH105" i="2"/>
  <c r="AG105" i="2"/>
  <c r="AH218" i="2"/>
  <c r="AG218" i="2"/>
  <c r="AG179" i="2"/>
  <c r="AE187" i="2"/>
  <c r="AH179" i="2"/>
  <c r="AF9" i="3"/>
  <c r="AE9" i="3"/>
  <c r="AH85" i="2"/>
  <c r="AG85" i="2"/>
  <c r="AE110" i="2"/>
  <c r="AH102" i="2"/>
  <c r="AG102" i="2"/>
  <c r="AH117" i="2"/>
  <c r="AG162" i="2"/>
  <c r="AH162" i="2"/>
  <c r="AG219" i="2"/>
  <c r="AH219" i="2"/>
  <c r="AG37" i="2"/>
  <c r="AH37" i="2"/>
  <c r="AG230" i="2"/>
  <c r="AH230" i="2"/>
  <c r="AH169" i="2"/>
  <c r="AG169" i="2"/>
  <c r="AH36" i="2"/>
  <c r="AG36" i="2"/>
  <c r="AE44" i="2"/>
  <c r="AG50" i="2"/>
  <c r="AH50" i="2"/>
  <c r="AH87" i="2"/>
  <c r="AG87" i="2"/>
  <c r="AH113" i="2"/>
  <c r="AG113" i="2"/>
  <c r="AE121" i="2"/>
  <c r="AG74" i="2"/>
  <c r="AH74" i="2"/>
  <c r="AH80" i="2"/>
  <c r="AG80" i="2"/>
  <c r="AE88" i="2"/>
  <c r="AF4" i="3"/>
  <c r="AC12" i="3"/>
  <c r="AE4" i="3"/>
  <c r="AG160" i="2"/>
  <c r="AH160" i="2"/>
  <c r="AG184" i="2"/>
  <c r="AH184" i="2"/>
  <c r="AG217" i="2"/>
  <c r="AH217" i="2"/>
  <c r="AG196" i="2"/>
  <c r="AH196" i="2"/>
  <c r="AE11" i="2"/>
  <c r="AG3" i="2"/>
  <c r="AH3" i="2"/>
  <c r="AH40" i="2"/>
  <c r="AG40" i="2"/>
  <c r="AG172" i="2"/>
  <c r="AH172" i="2"/>
  <c r="AG186" i="2"/>
  <c r="AH186" i="2"/>
  <c r="AF110" i="2"/>
  <c r="AH195" i="2"/>
  <c r="AG195" i="2"/>
  <c r="AH180" i="2"/>
  <c r="AG73" i="2"/>
  <c r="AH73" i="2"/>
  <c r="AH21" i="2"/>
  <c r="AG21" i="2"/>
  <c r="AH148" i="2"/>
  <c r="AG148" i="2"/>
  <c r="AG109" i="2"/>
  <c r="AH109" i="2"/>
  <c r="AE10" i="3"/>
  <c r="AF10" i="3"/>
  <c r="AH28" i="2"/>
  <c r="AG28" i="2"/>
  <c r="AF8" i="3"/>
  <c r="AE8" i="3"/>
  <c r="AF165" i="2"/>
  <c r="AG58" i="2"/>
  <c r="AE66" i="2"/>
  <c r="AH58" i="2"/>
  <c r="AH93" i="2"/>
  <c r="AG93" i="2"/>
  <c r="AG182" i="2"/>
  <c r="AH182" i="2"/>
  <c r="AG206" i="2"/>
  <c r="AH206" i="2"/>
  <c r="AH5" i="2"/>
  <c r="AH150" i="2"/>
  <c r="AG150" i="2"/>
  <c r="AG193" i="2"/>
  <c r="AH193" i="2"/>
  <c r="AH137" i="2"/>
  <c r="AG137" i="2"/>
  <c r="AH19" i="2"/>
  <c r="AG19" i="2"/>
  <c r="AH157" i="2"/>
  <c r="AE165" i="2"/>
  <c r="AG157" i="2"/>
  <c r="AH202" i="2"/>
  <c r="AG202" i="2"/>
  <c r="AG30" i="2"/>
  <c r="AH30" i="2"/>
  <c r="AG26" i="2"/>
  <c r="AH26" i="2"/>
  <c r="AG51" i="2"/>
  <c r="AH51" i="2"/>
  <c r="AG227" i="2"/>
  <c r="AH227" i="2"/>
  <c r="AG142" i="2"/>
  <c r="AH142" i="2"/>
  <c r="AH63" i="2"/>
  <c r="AG63" i="2"/>
  <c r="AG27" i="2"/>
  <c r="AH27" i="2"/>
  <c r="AH149" i="2"/>
  <c r="AG149" i="2"/>
  <c r="AG91" i="2"/>
  <c r="AH91" i="2"/>
  <c r="AE99" i="2"/>
  <c r="AH201" i="2"/>
  <c r="AE209" i="2"/>
  <c r="AG201" i="2"/>
  <c r="AH82" i="2"/>
  <c r="AG126" i="2"/>
  <c r="AH126" i="2"/>
  <c r="AH139" i="2"/>
  <c r="AG139" i="2"/>
  <c r="AH83" i="2"/>
  <c r="AG83" i="2"/>
  <c r="AH151" i="2"/>
  <c r="AG151" i="2"/>
  <c r="AE132" i="2"/>
  <c r="AH124" i="2"/>
  <c r="AG124" i="2"/>
  <c r="D202" i="1"/>
  <c r="D205" i="1"/>
  <c r="AH10" i="2"/>
  <c r="AH41" i="2"/>
  <c r="AG41" i="2"/>
  <c r="AH49" i="2"/>
  <c r="AG49" i="2"/>
  <c r="AF7" i="3"/>
  <c r="AE7" i="3"/>
  <c r="AG190" i="2"/>
  <c r="AH190" i="2"/>
  <c r="AE198" i="2"/>
  <c r="AH47" i="2"/>
  <c r="AE55" i="2"/>
  <c r="AG47" i="2"/>
  <c r="AH197" i="2"/>
  <c r="AG197" i="2"/>
  <c r="AG75" i="2"/>
  <c r="AH75" i="2"/>
  <c r="AH4" i="2"/>
  <c r="AG4" i="2"/>
  <c r="AH38" i="2"/>
  <c r="AG38" i="2"/>
  <c r="AG164" i="2"/>
  <c r="AH164" i="2"/>
  <c r="AF231" i="2"/>
  <c r="AH208" i="2"/>
  <c r="AG208" i="2"/>
  <c r="D200" i="1"/>
  <c r="AG66" i="2" l="1"/>
  <c r="AG214" i="2"/>
  <c r="AF220" i="2"/>
  <c r="AG96" i="2"/>
  <c r="AF99" i="2"/>
  <c r="AG99" i="2" s="1"/>
  <c r="AG180" i="2"/>
  <c r="AF187" i="2"/>
  <c r="AG187" i="2" s="1"/>
  <c r="AG117" i="2"/>
  <c r="AF121" i="2"/>
  <c r="AG198" i="2"/>
  <c r="AG6" i="2"/>
  <c r="AG5" i="2"/>
  <c r="AE235" i="2"/>
  <c r="D218" i="1" s="1"/>
  <c r="AG132" i="2"/>
  <c r="AG121" i="2"/>
  <c r="AG82" i="2"/>
  <c r="AF88" i="2"/>
  <c r="AG88" i="2" s="1"/>
  <c r="AG110" i="2"/>
  <c r="AG176" i="2"/>
  <c r="AG22" i="2"/>
  <c r="AG55" i="2"/>
  <c r="AH132" i="2"/>
  <c r="AH55" i="2"/>
  <c r="AG209" i="2"/>
  <c r="D201" i="1"/>
  <c r="AH99" i="2"/>
  <c r="AH66" i="2"/>
  <c r="AH198" i="2"/>
  <c r="AH121" i="2"/>
  <c r="AH77" i="2"/>
  <c r="AH143" i="2"/>
  <c r="D206" i="1"/>
  <c r="D212" i="1" s="1"/>
  <c r="D216" i="1"/>
  <c r="AH11" i="2"/>
  <c r="AH88" i="2"/>
  <c r="AH187" i="2"/>
  <c r="AG220" i="2"/>
  <c r="AG231" i="2"/>
  <c r="AG165" i="2"/>
  <c r="AE12" i="3"/>
  <c r="D217" i="1"/>
  <c r="AH44" i="2"/>
  <c r="AH33" i="2"/>
  <c r="AF12" i="3"/>
  <c r="D210" i="1" s="1"/>
  <c r="AH220" i="2"/>
  <c r="AH231" i="2"/>
  <c r="AG77" i="2"/>
  <c r="AG143" i="2"/>
  <c r="AH209" i="2"/>
  <c r="AH165" i="2"/>
  <c r="AG44" i="2"/>
  <c r="AH110" i="2"/>
  <c r="AG33" i="2"/>
  <c r="AH176" i="2"/>
  <c r="AH22" i="2"/>
  <c r="AH154" i="2"/>
  <c r="AG7" i="2" l="1"/>
  <c r="AG8" i="2"/>
  <c r="D219" i="1"/>
  <c r="AH235" i="2"/>
  <c r="D211" i="1" s="1"/>
  <c r="D213" i="1" s="1"/>
  <c r="AF11" i="2" l="1"/>
  <c r="AG10" i="2"/>
  <c r="AG9" i="2"/>
  <c r="AF235" i="2" l="1"/>
  <c r="AG235" i="2" s="1"/>
  <c r="AG11" i="2"/>
</calcChain>
</file>

<file path=xl/sharedStrings.xml><?xml version="1.0" encoding="utf-8"?>
<sst xmlns="http://schemas.openxmlformats.org/spreadsheetml/2006/main" count="2201" uniqueCount="209">
  <si>
    <t>Name der Münze</t>
  </si>
  <si>
    <t>1 Cent</t>
  </si>
  <si>
    <t>2 Cent</t>
  </si>
  <si>
    <t>5 Cent</t>
  </si>
  <si>
    <t>10 Cent</t>
  </si>
  <si>
    <t>20 Cent</t>
  </si>
  <si>
    <t>50 Cent</t>
  </si>
  <si>
    <t>1 Euro</t>
  </si>
  <si>
    <t>2 Euro</t>
  </si>
  <si>
    <t>Estland</t>
  </si>
  <si>
    <t>Malta</t>
  </si>
  <si>
    <t>Slowakei</t>
  </si>
  <si>
    <t>Slowenien</t>
  </si>
  <si>
    <t>Zypern</t>
  </si>
  <si>
    <t>Herkunftsland</t>
  </si>
  <si>
    <t>Bremen</t>
  </si>
  <si>
    <t>Ausgabejahr</t>
  </si>
  <si>
    <t>Deutschland</t>
  </si>
  <si>
    <t>F</t>
  </si>
  <si>
    <t>Deutsche Prägestätten</t>
  </si>
  <si>
    <t>A</t>
  </si>
  <si>
    <t>J</t>
  </si>
  <si>
    <t>G</t>
  </si>
  <si>
    <t>D</t>
  </si>
  <si>
    <t>A (Berlin)</t>
  </si>
  <si>
    <t>J (Hamburg)</t>
  </si>
  <si>
    <t>G (Karlsruhe)</t>
  </si>
  <si>
    <t>D (München)</t>
  </si>
  <si>
    <t>F (Stuttgart)</t>
  </si>
  <si>
    <t>Mecklenburg-Vorp.</t>
  </si>
  <si>
    <t>Saarland</t>
  </si>
  <si>
    <t>Schleswig-Holstein</t>
  </si>
  <si>
    <t>Baden-Würtemberg</t>
  </si>
  <si>
    <t>Nordrhein-Westfalen</t>
  </si>
  <si>
    <t>Hamburg</t>
  </si>
  <si>
    <t>Bayern</t>
  </si>
  <si>
    <t>Französische EU-Ratspräsidentschaft</t>
  </si>
  <si>
    <t>Frankreich</t>
  </si>
  <si>
    <t>Menge in Mill.</t>
  </si>
  <si>
    <t>10.Jahrestag der Einführung des €</t>
  </si>
  <si>
    <t>Belgien</t>
  </si>
  <si>
    <t>10 Jahre Wirtschafts-&amp;Währungsunion</t>
  </si>
  <si>
    <t>5. Jahrzehnt des world food programm</t>
  </si>
  <si>
    <t>Italien</t>
  </si>
  <si>
    <t>G - 4,26</t>
  </si>
  <si>
    <t>F - 11,85</t>
  </si>
  <si>
    <t>F - 9,6</t>
  </si>
  <si>
    <t>G - 4,2</t>
  </si>
  <si>
    <t>F - 7,2</t>
  </si>
  <si>
    <t>J - 6,3</t>
  </si>
  <si>
    <t>200. Geburtstag von Louis Braille</t>
  </si>
  <si>
    <t>500 Jahre Erasmus von Rotterdam</t>
  </si>
  <si>
    <t>Niederlande</t>
  </si>
  <si>
    <t>Finnland</t>
  </si>
  <si>
    <t>Griechenland</t>
  </si>
  <si>
    <t>Irland</t>
  </si>
  <si>
    <t>Luxemburg</t>
  </si>
  <si>
    <t>Österreich</t>
  </si>
  <si>
    <t>Portugal</t>
  </si>
  <si>
    <t>Spanien</t>
  </si>
  <si>
    <t>50 Jahre Römische Verträge</t>
  </si>
  <si>
    <t>1. Jahrestag des Vertrages der europ. Verfassung</t>
  </si>
  <si>
    <t>A - 6</t>
  </si>
  <si>
    <t>D - 8,9</t>
  </si>
  <si>
    <t>J - 1,07</t>
  </si>
  <si>
    <t>F - 8</t>
  </si>
  <si>
    <t>Bundesländerserie</t>
  </si>
  <si>
    <t>D - 6,3</t>
  </si>
  <si>
    <t>F - 7,26</t>
  </si>
  <si>
    <t>A - 1,04</t>
  </si>
  <si>
    <t>D - 11,84</t>
  </si>
  <si>
    <t>A - 1</t>
  </si>
  <si>
    <t>Europaweite Sondermünzen</t>
  </si>
  <si>
    <t>im Bestand</t>
  </si>
  <si>
    <t>Gesamt</t>
  </si>
  <si>
    <t>Summe</t>
  </si>
  <si>
    <t>Prozent</t>
  </si>
  <si>
    <t>%</t>
  </si>
  <si>
    <t>Wert in €</t>
  </si>
  <si>
    <t>von Ausland</t>
  </si>
  <si>
    <t>Münzmenge</t>
  </si>
  <si>
    <t>Menge</t>
  </si>
  <si>
    <t>Gesamtwert Sondermünzen</t>
  </si>
  <si>
    <t>Gesamtwert Sammlung</t>
  </si>
  <si>
    <t>Europa</t>
  </si>
  <si>
    <t>Sondermünzen</t>
  </si>
  <si>
    <t>50 Jahre Elysee-Vertrag</t>
  </si>
  <si>
    <t>D - 2,31</t>
  </si>
  <si>
    <t>F - 2,64</t>
  </si>
  <si>
    <t>Olympische Winterspiele Turin</t>
  </si>
  <si>
    <t xml:space="preserve">100 Jahre Meteorologisches Museum </t>
  </si>
  <si>
    <t xml:space="preserve">PS &amp; Menge </t>
  </si>
  <si>
    <t>Niedersachsen</t>
  </si>
  <si>
    <t>Hessen</t>
  </si>
  <si>
    <t>Sachsen</t>
  </si>
  <si>
    <t>Rheinland-Pfalz</t>
  </si>
  <si>
    <t>Berlin</t>
  </si>
  <si>
    <t>Sachsen-Anhalt</t>
  </si>
  <si>
    <t>Thüringen</t>
  </si>
  <si>
    <t>Bestand</t>
  </si>
  <si>
    <t>Lettland</t>
  </si>
  <si>
    <t>///</t>
  </si>
  <si>
    <t>---</t>
  </si>
  <si>
    <t>???</t>
  </si>
  <si>
    <t xml:space="preserve"> </t>
  </si>
  <si>
    <t>1 Ct</t>
  </si>
  <si>
    <t>2 Ct</t>
  </si>
  <si>
    <t>5 Ct</t>
  </si>
  <si>
    <t>10 Ct</t>
  </si>
  <si>
    <t>20 Ct</t>
  </si>
  <si>
    <t>50 Ct</t>
  </si>
  <si>
    <t>Sum</t>
  </si>
  <si>
    <t xml:space="preserve">Wert </t>
  </si>
  <si>
    <t>10Ct. Nur "sehr begrenzt" im Umlauf</t>
  </si>
  <si>
    <t xml:space="preserve"> = alle Auflagen unter 1 Millionen werden pauschal schwarz markiert</t>
  </si>
  <si>
    <t>EFS erkennbar an dem Stern in dem der Jahreszahl nächsten Buchstaben</t>
  </si>
  <si>
    <t>ALT</t>
  </si>
  <si>
    <t>NEU</t>
  </si>
  <si>
    <t>die älteste Auflage findet sich stets in altem Album</t>
  </si>
  <si>
    <t>100. Internationaler Frauentag</t>
  </si>
  <si>
    <t>125. Geb. Frans Sillanpää, Schriftsteller</t>
  </si>
  <si>
    <t>Ankündigung Thronwechsel Beatrix/Willem Alex.</t>
  </si>
  <si>
    <t>Heft?</t>
  </si>
  <si>
    <t>Kommentar</t>
  </si>
  <si>
    <t>FRA + DE (5PS)</t>
  </si>
  <si>
    <t>"Beatrix Königin der Niederlande"</t>
  </si>
  <si>
    <t>200 Jahre Königreich (+ Willem Alex.)</t>
  </si>
  <si>
    <t>G - 5</t>
  </si>
  <si>
    <t>Landspezifisch?</t>
  </si>
  <si>
    <t>Ordner</t>
  </si>
  <si>
    <t xml:space="preserve">In Münzhülle </t>
  </si>
  <si>
    <t>100 Jahre Gleichberechtigung/Frauenwahlrecht</t>
  </si>
  <si>
    <t>Welche?</t>
  </si>
  <si>
    <t>ja; DE: 5 PS</t>
  </si>
  <si>
    <t>ja</t>
  </si>
  <si>
    <t>ja (ex. EST/SLO)</t>
  </si>
  <si>
    <t>Lusofonia-Sportspiele 2009</t>
  </si>
  <si>
    <t>200. Geburtstag Graf von Cavour</t>
  </si>
  <si>
    <t>2500 Jahre Schlacht von Marathon</t>
  </si>
  <si>
    <t>150 Jahre finnische Währung</t>
  </si>
  <si>
    <t>Bundesländerserie Bremen</t>
  </si>
  <si>
    <t>4,2 - G</t>
  </si>
  <si>
    <t>20. Jahrestag des Kampfes für Freiheit &amp; Demokr.</t>
  </si>
  <si>
    <t>60 Jahre Vereinte Nationen, 50 J. Finnland in UN</t>
  </si>
  <si>
    <t>50. Geb Henri, 5. Jahrestag Thronbesteigung</t>
  </si>
  <si>
    <t>Monogramm Großherzog Henri</t>
  </si>
  <si>
    <t>100 Jahre Portugiesische Republik</t>
  </si>
  <si>
    <t>Belgische EU-Ratspräsidentschaft 2010</t>
  </si>
  <si>
    <t>200 Jahre Botanischer Garten Ljubljana</t>
  </si>
  <si>
    <t>Altstadt von Cordoba</t>
  </si>
  <si>
    <t>400 Jahre Don Quijote</t>
  </si>
  <si>
    <t>90 Jahre finnische Unabhängigkeit</t>
  </si>
  <si>
    <t>70. Jahrestags des Appells von Charles de Gaulle</t>
  </si>
  <si>
    <t>60. Jahrestag der Verkündung der Menschenrechte</t>
  </si>
  <si>
    <t>Olympische Sommerspiele 2004 in Athen</t>
  </si>
  <si>
    <t>Bundesländerserie Nordrhein-Westfalen</t>
  </si>
  <si>
    <t>6 - A</t>
  </si>
  <si>
    <t>200. JT der Autonomie und zentraler Regierung</t>
  </si>
  <si>
    <t>25 Jahre Deutsche Einheit</t>
  </si>
  <si>
    <t xml:space="preserve">ja, DE: PS </t>
  </si>
  <si>
    <t>Gesamtmenge der Münzen</t>
  </si>
  <si>
    <t>Sonder</t>
  </si>
  <si>
    <t>DE</t>
  </si>
  <si>
    <t>FRAN</t>
  </si>
  <si>
    <t>Plan</t>
  </si>
  <si>
    <t>Litauen</t>
  </si>
  <si>
    <t>75 Jahre Königin Elisabeth Musik-Wettbewerb</t>
  </si>
  <si>
    <t>Ende 2015: 86,5%</t>
  </si>
  <si>
    <t>: alle Auflagen unter 1,5 Mille die ich besitze sind NEON</t>
  </si>
  <si>
    <t>Anfang 2016: 80,5</t>
  </si>
  <si>
    <t>G - 1,5</t>
  </si>
  <si>
    <t>30 Jahre Europäische Flagge</t>
  </si>
  <si>
    <t>BQ 4800000</t>
  </si>
  <si>
    <t>100. Todestag Auguste Rodin</t>
  </si>
  <si>
    <t>UEFA Euro 2016 - France</t>
  </si>
  <si>
    <t>100. Geburtstag Helmut Schmidt</t>
  </si>
  <si>
    <t>ja, DE: PS</t>
  </si>
  <si>
    <t>200. Jahrestag Gründung Nationalbank</t>
  </si>
  <si>
    <t>Welt-Aids-Tag</t>
  </si>
  <si>
    <t>2x</t>
  </si>
  <si>
    <t>100. Geburtstag Tove Jansson</t>
  </si>
  <si>
    <t xml:space="preserve">Finnland </t>
  </si>
  <si>
    <t xml:space="preserve">Abschiedsfeier Königin Beatrix </t>
  </si>
  <si>
    <t>2. Doppelporträt Willem-Alex + Beatrix</t>
  </si>
  <si>
    <t>Tag der vermissten Kinder</t>
  </si>
  <si>
    <t>x</t>
  </si>
  <si>
    <t>70 Jahre Bundesrat</t>
  </si>
  <si>
    <t>D - 14.5</t>
  </si>
  <si>
    <t>Atomium Brüssel</t>
  </si>
  <si>
    <t xml:space="preserve">Brandenburg </t>
  </si>
  <si>
    <t>30 Jahre Mauerfall</t>
  </si>
  <si>
    <t>700. Geburtstag Giovanni Boccaccio</t>
  </si>
  <si>
    <t>Vatikan</t>
  </si>
  <si>
    <t>Auflagenlink: https://austria-forum.org/af/AustriaWiki/%C3%96sterreichische_Eurom%C3%Bcnzen</t>
  </si>
  <si>
    <t>Auflagen: https://www.euro-muenzen.tv/italien/euro-muenzen-2018</t>
  </si>
  <si>
    <t>100 Jahre Republik Österreich</t>
  </si>
  <si>
    <t>Mitte 2021: 74.5%</t>
  </si>
  <si>
    <t>50 Jahre Kniefall von Warschau</t>
  </si>
  <si>
    <t>Simone Veil</t>
  </si>
  <si>
    <t>Charles de Gaulle</t>
  </si>
  <si>
    <t xml:space="preserve">Vilnius </t>
  </si>
  <si>
    <t xml:space="preserve">Litauen </t>
  </si>
  <si>
    <t>75 Jahre Unicef</t>
  </si>
  <si>
    <t>Francois Mitterand</t>
  </si>
  <si>
    <t>ss</t>
  </si>
  <si>
    <t>35 Jahre ERASMUS</t>
  </si>
  <si>
    <t>Monaco</t>
  </si>
  <si>
    <t>Kroatien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</si>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</sst>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;[Red]\-#,##0\ &quot;€&quot;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26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/>
    <xf numFmtId="0" fontId="0" fillId="2" borderId="0" xfId="0" applyFill="1"/>
    <xf numFmtId="0" fontId="4" fillId="5" borderId="0" xfId="1"/>
    <xf numFmtId="0" fontId="0" fillId="3" borderId="0" xfId="0" applyFill="1"/>
    <xf numFmtId="0" fontId="0" fillId="0" borderId="11" xfId="0" applyBorder="1"/>
    <xf numFmtId="0" fontId="0" fillId="0" borderId="12" xfId="0" applyBorder="1"/>
    <xf numFmtId="0" fontId="1" fillId="0" borderId="14" xfId="0" applyFont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5" fillId="4" borderId="0" xfId="0" applyFont="1" applyFill="1"/>
    <xf numFmtId="0" fontId="1" fillId="0" borderId="20" xfId="0" applyFont="1" applyBorder="1"/>
    <xf numFmtId="0" fontId="1" fillId="0" borderId="21" xfId="0" applyFont="1" applyBorder="1"/>
    <xf numFmtId="0" fontId="1" fillId="0" borderId="1" xfId="0" applyFont="1" applyBorder="1"/>
    <xf numFmtId="0" fontId="1" fillId="7" borderId="0" xfId="0" applyFont="1" applyFill="1"/>
    <xf numFmtId="0" fontId="1" fillId="7" borderId="1" xfId="0" applyFont="1" applyFill="1" applyBorder="1"/>
    <xf numFmtId="0" fontId="1" fillId="3" borderId="19" xfId="0" applyFont="1" applyFill="1" applyBorder="1"/>
    <xf numFmtId="0" fontId="7" fillId="6" borderId="0" xfId="0" applyFont="1" applyFill="1"/>
    <xf numFmtId="0" fontId="6" fillId="8" borderId="0" xfId="0" applyFont="1" applyFill="1"/>
    <xf numFmtId="0" fontId="6" fillId="8" borderId="22" xfId="0" applyFont="1" applyFill="1" applyBorder="1"/>
    <xf numFmtId="0" fontId="7" fillId="0" borderId="0" xfId="0" applyFont="1"/>
    <xf numFmtId="0" fontId="6" fillId="0" borderId="0" xfId="0" applyFont="1"/>
    <xf numFmtId="0" fontId="8" fillId="0" borderId="0" xfId="0" applyFont="1" applyAlignment="1">
      <alignment horizontal="center"/>
    </xf>
    <xf numFmtId="0" fontId="0" fillId="3" borderId="19" xfId="0" applyFill="1" applyBorder="1"/>
    <xf numFmtId="0" fontId="0" fillId="0" borderId="20" xfId="0" applyBorder="1"/>
    <xf numFmtId="0" fontId="0" fillId="3" borderId="20" xfId="0" applyFill="1" applyBorder="1"/>
    <xf numFmtId="0" fontId="0" fillId="3" borderId="21" xfId="0" applyFill="1" applyBorder="1"/>
    <xf numFmtId="0" fontId="0" fillId="0" borderId="19" xfId="0" applyBorder="1"/>
    <xf numFmtId="0" fontId="0" fillId="3" borderId="14" xfId="0" applyFill="1" applyBorder="1"/>
    <xf numFmtId="0" fontId="0" fillId="3" borderId="11" xfId="0" applyFill="1" applyBorder="1"/>
    <xf numFmtId="0" fontId="0" fillId="3" borderId="16" xfId="0" applyFill="1" applyBorder="1"/>
    <xf numFmtId="0" fontId="8" fillId="0" borderId="18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0" xfId="0" applyFont="1" applyAlignment="1">
      <alignment horizontal="right"/>
    </xf>
    <xf numFmtId="3" fontId="0" fillId="0" borderId="0" xfId="0" applyNumberFormat="1"/>
    <xf numFmtId="48" fontId="0" fillId="3" borderId="1" xfId="0" applyNumberFormat="1" applyFill="1" applyBorder="1"/>
    <xf numFmtId="48" fontId="0" fillId="0" borderId="1" xfId="0" applyNumberFormat="1" applyBorder="1"/>
    <xf numFmtId="48" fontId="0" fillId="4" borderId="1" xfId="0" applyNumberFormat="1" applyFill="1" applyBorder="1"/>
    <xf numFmtId="48" fontId="11" fillId="4" borderId="6" xfId="0" applyNumberFormat="1" applyFont="1" applyFill="1" applyBorder="1"/>
    <xf numFmtId="48" fontId="11" fillId="4" borderId="1" xfId="0" applyNumberFormat="1" applyFont="1" applyFill="1" applyBorder="1"/>
    <xf numFmtId="48" fontId="11" fillId="4" borderId="7" xfId="0" applyNumberFormat="1" applyFont="1" applyFill="1" applyBorder="1"/>
    <xf numFmtId="48" fontId="11" fillId="3" borderId="3" xfId="0" applyNumberFormat="1" applyFont="1" applyFill="1" applyBorder="1" applyAlignment="1">
      <alignment horizontal="center"/>
    </xf>
    <xf numFmtId="48" fontId="11" fillId="3" borderId="4" xfId="0" applyNumberFormat="1" applyFont="1" applyFill="1" applyBorder="1" applyAlignment="1">
      <alignment horizontal="center"/>
    </xf>
    <xf numFmtId="48" fontId="11" fillId="3" borderId="5" xfId="0" applyNumberFormat="1" applyFont="1" applyFill="1" applyBorder="1" applyAlignment="1">
      <alignment horizontal="center"/>
    </xf>
    <xf numFmtId="48" fontId="11" fillId="4" borderId="3" xfId="0" applyNumberFormat="1" applyFont="1" applyFill="1" applyBorder="1" applyAlignment="1">
      <alignment horizontal="center"/>
    </xf>
    <xf numFmtId="48" fontId="11" fillId="4" borderId="4" xfId="0" applyNumberFormat="1" applyFont="1" applyFill="1" applyBorder="1" applyAlignment="1">
      <alignment horizontal="center"/>
    </xf>
    <xf numFmtId="48" fontId="11" fillId="4" borderId="5" xfId="0" applyNumberFormat="1" applyFont="1" applyFill="1" applyBorder="1" applyAlignment="1">
      <alignment horizontal="center"/>
    </xf>
    <xf numFmtId="48" fontId="11" fillId="3" borderId="6" xfId="0" applyNumberFormat="1" applyFont="1" applyFill="1" applyBorder="1" applyAlignment="1">
      <alignment horizontal="center"/>
    </xf>
    <xf numFmtId="48" fontId="11" fillId="3" borderId="1" xfId="0" applyNumberFormat="1" applyFont="1" applyFill="1" applyBorder="1" applyAlignment="1">
      <alignment horizontal="center"/>
    </xf>
    <xf numFmtId="48" fontId="11" fillId="3" borderId="7" xfId="0" applyNumberFormat="1" applyFont="1" applyFill="1" applyBorder="1" applyAlignment="1">
      <alignment horizontal="center"/>
    </xf>
    <xf numFmtId="48" fontId="11" fillId="0" borderId="1" xfId="0" applyNumberFormat="1" applyFont="1" applyBorder="1" applyAlignment="1">
      <alignment horizontal="center"/>
    </xf>
    <xf numFmtId="48" fontId="11" fillId="4" borderId="6" xfId="0" applyNumberFormat="1" applyFont="1" applyFill="1" applyBorder="1" applyAlignment="1">
      <alignment horizontal="center"/>
    </xf>
    <xf numFmtId="48" fontId="11" fillId="4" borderId="1" xfId="0" applyNumberFormat="1" applyFont="1" applyFill="1" applyBorder="1" applyAlignment="1">
      <alignment horizontal="center"/>
    </xf>
    <xf numFmtId="48" fontId="11" fillId="4" borderId="7" xfId="0" applyNumberFormat="1" applyFont="1" applyFill="1" applyBorder="1" applyAlignment="1">
      <alignment horizontal="center"/>
    </xf>
    <xf numFmtId="48" fontId="11" fillId="3" borderId="0" xfId="0" applyNumberFormat="1" applyFont="1" applyFill="1" applyAlignment="1">
      <alignment horizontal="center"/>
    </xf>
    <xf numFmtId="48" fontId="11" fillId="0" borderId="6" xfId="0" applyNumberFormat="1" applyFont="1" applyBorder="1" applyAlignment="1">
      <alignment horizontal="center"/>
    </xf>
    <xf numFmtId="48" fontId="11" fillId="0" borderId="7" xfId="0" applyNumberFormat="1" applyFont="1" applyBorder="1" applyAlignment="1">
      <alignment horizontal="center"/>
    </xf>
    <xf numFmtId="48" fontId="11" fillId="3" borderId="8" xfId="0" applyNumberFormat="1" applyFont="1" applyFill="1" applyBorder="1" applyAlignment="1">
      <alignment horizontal="center"/>
    </xf>
    <xf numFmtId="48" fontId="11" fillId="3" borderId="9" xfId="0" applyNumberFormat="1" applyFont="1" applyFill="1" applyBorder="1" applyAlignment="1">
      <alignment horizontal="center"/>
    </xf>
    <xf numFmtId="48" fontId="11" fillId="3" borderId="10" xfId="0" applyNumberFormat="1" applyFont="1" applyFill="1" applyBorder="1" applyAlignment="1">
      <alignment horizontal="center"/>
    </xf>
    <xf numFmtId="48" fontId="11" fillId="4" borderId="9" xfId="0" applyNumberFormat="1" applyFont="1" applyFill="1" applyBorder="1" applyAlignment="1">
      <alignment horizontal="center"/>
    </xf>
    <xf numFmtId="48" fontId="11" fillId="4" borderId="8" xfId="0" applyNumberFormat="1" applyFont="1" applyFill="1" applyBorder="1" applyAlignment="1">
      <alignment horizontal="center"/>
    </xf>
    <xf numFmtId="48" fontId="11" fillId="4" borderId="10" xfId="0" applyNumberFormat="1" applyFont="1" applyFill="1" applyBorder="1" applyAlignment="1">
      <alignment horizontal="center"/>
    </xf>
    <xf numFmtId="48" fontId="11" fillId="0" borderId="9" xfId="0" applyNumberFormat="1" applyFont="1" applyBorder="1" applyAlignment="1">
      <alignment horizontal="center"/>
    </xf>
    <xf numFmtId="48" fontId="11" fillId="0" borderId="10" xfId="0" applyNumberFormat="1" applyFont="1" applyBorder="1" applyAlignment="1">
      <alignment horizontal="center"/>
    </xf>
    <xf numFmtId="48" fontId="12" fillId="3" borderId="3" xfId="0" applyNumberFormat="1" applyFont="1" applyFill="1" applyBorder="1"/>
    <xf numFmtId="48" fontId="12" fillId="3" borderId="4" xfId="0" applyNumberFormat="1" applyFont="1" applyFill="1" applyBorder="1"/>
    <xf numFmtId="48" fontId="12" fillId="3" borderId="5" xfId="0" applyNumberFormat="1" applyFont="1" applyFill="1" applyBorder="1"/>
    <xf numFmtId="48" fontId="12" fillId="3" borderId="1" xfId="0" applyNumberFormat="1" applyFont="1" applyFill="1" applyBorder="1"/>
    <xf numFmtId="48" fontId="12" fillId="3" borderId="7" xfId="0" applyNumberFormat="1" applyFont="1" applyFill="1" applyBorder="1"/>
    <xf numFmtId="48" fontId="12" fillId="3" borderId="6" xfId="0" applyNumberFormat="1" applyFont="1" applyFill="1" applyBorder="1"/>
    <xf numFmtId="48" fontId="12" fillId="4" borderId="6" xfId="0" applyNumberFormat="1" applyFont="1" applyFill="1" applyBorder="1"/>
    <xf numFmtId="48" fontId="12" fillId="4" borderId="1" xfId="0" applyNumberFormat="1" applyFont="1" applyFill="1" applyBorder="1"/>
    <xf numFmtId="48" fontId="12" fillId="4" borderId="7" xfId="0" applyNumberFormat="1" applyFont="1" applyFill="1" applyBorder="1"/>
    <xf numFmtId="48" fontId="12" fillId="4" borderId="8" xfId="0" applyNumberFormat="1" applyFont="1" applyFill="1" applyBorder="1"/>
    <xf numFmtId="48" fontId="12" fillId="4" borderId="9" xfId="0" applyNumberFormat="1" applyFont="1" applyFill="1" applyBorder="1"/>
    <xf numFmtId="48" fontId="12" fillId="4" borderId="10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48" fontId="11" fillId="0" borderId="3" xfId="0" applyNumberFormat="1" applyFont="1" applyBorder="1"/>
    <xf numFmtId="48" fontId="11" fillId="0" borderId="6" xfId="0" applyNumberFormat="1" applyFont="1" applyBorder="1"/>
    <xf numFmtId="48" fontId="11" fillId="0" borderId="1" xfId="0" applyNumberFormat="1" applyFont="1" applyBorder="1"/>
    <xf numFmtId="48" fontId="11" fillId="0" borderId="7" xfId="0" applyNumberFormat="1" applyFont="1" applyBorder="1"/>
    <xf numFmtId="0" fontId="10" fillId="0" borderId="0" xfId="0" applyFont="1"/>
    <xf numFmtId="48" fontId="0" fillId="0" borderId="23" xfId="0" applyNumberFormat="1" applyBorder="1"/>
    <xf numFmtId="48" fontId="0" fillId="3" borderId="23" xfId="0" applyNumberFormat="1" applyFill="1" applyBorder="1"/>
    <xf numFmtId="48" fontId="13" fillId="3" borderId="1" xfId="0" applyNumberFormat="1" applyFont="1" applyFill="1" applyBorder="1" applyAlignment="1">
      <alignment horizontal="center"/>
    </xf>
    <xf numFmtId="48" fontId="13" fillId="0" borderId="1" xfId="0" applyNumberFormat="1" applyFont="1" applyBorder="1" applyAlignment="1">
      <alignment horizontal="center"/>
    </xf>
    <xf numFmtId="48" fontId="0" fillId="3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48" fontId="13" fillId="4" borderId="1" xfId="0" applyNumberFormat="1" applyFont="1" applyFill="1" applyBorder="1" applyAlignment="1">
      <alignment horizontal="center"/>
    </xf>
    <xf numFmtId="48" fontId="13" fillId="3" borderId="0" xfId="0" applyNumberFormat="1" applyFont="1" applyFill="1" applyAlignment="1">
      <alignment horizontal="center"/>
    </xf>
    <xf numFmtId="48" fontId="0" fillId="0" borderId="23" xfId="0" applyNumberFormat="1" applyBorder="1" applyAlignment="1">
      <alignment horizontal="center"/>
    </xf>
    <xf numFmtId="48" fontId="0" fillId="3" borderId="23" xfId="0" applyNumberFormat="1" applyFill="1" applyBorder="1" applyAlignment="1">
      <alignment horizontal="center"/>
    </xf>
    <xf numFmtId="48" fontId="0" fillId="4" borderId="23" xfId="0" applyNumberFormat="1" applyFill="1" applyBorder="1"/>
    <xf numFmtId="48" fontId="0" fillId="3" borderId="3" xfId="0" applyNumberFormat="1" applyFill="1" applyBorder="1"/>
    <xf numFmtId="48" fontId="0" fillId="4" borderId="5" xfId="0" applyNumberFormat="1" applyFill="1" applyBorder="1"/>
    <xf numFmtId="48" fontId="0" fillId="4" borderId="6" xfId="0" applyNumberFormat="1" applyFill="1" applyBorder="1"/>
    <xf numFmtId="48" fontId="0" fillId="3" borderId="7" xfId="0" applyNumberFormat="1" applyFill="1" applyBorder="1"/>
    <xf numFmtId="48" fontId="0" fillId="3" borderId="6" xfId="0" applyNumberFormat="1" applyFill="1" applyBorder="1"/>
    <xf numFmtId="48" fontId="0" fillId="4" borderId="7" xfId="0" applyNumberFormat="1" applyFill="1" applyBorder="1"/>
    <xf numFmtId="48" fontId="0" fillId="4" borderId="8" xfId="0" applyNumberFormat="1" applyFill="1" applyBorder="1"/>
    <xf numFmtId="48" fontId="0" fillId="3" borderId="10" xfId="0" applyNumberFormat="1" applyFill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right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48" fontId="6" fillId="3" borderId="1" xfId="0" applyNumberFormat="1" applyFont="1" applyFill="1" applyBorder="1"/>
    <xf numFmtId="48" fontId="6" fillId="0" borderId="23" xfId="0" applyNumberFormat="1" applyFont="1" applyBorder="1" applyAlignment="1">
      <alignment horizontal="center"/>
    </xf>
    <xf numFmtId="0" fontId="8" fillId="10" borderId="0" xfId="0" applyFont="1" applyFill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10" borderId="13" xfId="0" applyFont="1" applyFill="1" applyBorder="1" applyAlignment="1">
      <alignment horizontal="center"/>
    </xf>
    <xf numFmtId="0" fontId="8" fillId="10" borderId="15" xfId="0" applyFont="1" applyFill="1" applyBorder="1" applyAlignment="1">
      <alignment horizontal="center"/>
    </xf>
    <xf numFmtId="0" fontId="8" fillId="10" borderId="18" xfId="0" applyFont="1" applyFill="1" applyBorder="1" applyAlignment="1">
      <alignment horizontal="center"/>
    </xf>
    <xf numFmtId="48" fontId="11" fillId="3" borderId="1" xfId="0" applyNumberFormat="1" applyFont="1" applyFill="1" applyBorder="1"/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2" xfId="0" applyFont="1" applyBorder="1" applyAlignment="1">
      <alignment horizontal="center"/>
    </xf>
    <xf numFmtId="0" fontId="7" fillId="8" borderId="0" xfId="0" applyFont="1" applyFill="1" applyAlignment="1">
      <alignment horizontal="center"/>
    </xf>
    <xf numFmtId="2" fontId="1" fillId="0" borderId="20" xfId="0" applyNumberFormat="1" applyFont="1" applyBorder="1"/>
    <xf numFmtId="48" fontId="11" fillId="3" borderId="4" xfId="0" applyNumberFormat="1" applyFont="1" applyFill="1" applyBorder="1"/>
    <xf numFmtId="48" fontId="11" fillId="3" borderId="5" xfId="0" applyNumberFormat="1" applyFont="1" applyFill="1" applyBorder="1"/>
    <xf numFmtId="48" fontId="11" fillId="4" borderId="24" xfId="0" applyNumberFormat="1" applyFont="1" applyFill="1" applyBorder="1" applyAlignment="1">
      <alignment horizontal="center"/>
    </xf>
    <xf numFmtId="48" fontId="11" fillId="3" borderId="23" xfId="0" applyNumberFormat="1" applyFont="1" applyFill="1" applyBorder="1" applyAlignment="1">
      <alignment horizontal="center"/>
    </xf>
    <xf numFmtId="48" fontId="11" fillId="4" borderId="23" xfId="0" applyNumberFormat="1" applyFont="1" applyFill="1" applyBorder="1" applyAlignment="1">
      <alignment horizontal="center"/>
    </xf>
    <xf numFmtId="48" fontId="11" fillId="3" borderId="25" xfId="0" applyNumberFormat="1" applyFont="1" applyFill="1" applyBorder="1" applyAlignment="1">
      <alignment horizontal="center"/>
    </xf>
    <xf numFmtId="48" fontId="9" fillId="3" borderId="1" xfId="0" applyNumberFormat="1" applyFont="1" applyFill="1" applyBorder="1" applyAlignment="1">
      <alignment horizontal="center"/>
    </xf>
    <xf numFmtId="48" fontId="9" fillId="3" borderId="4" xfId="0" applyNumberFormat="1" applyFont="1" applyFill="1" applyBorder="1" applyAlignment="1">
      <alignment horizontal="center"/>
    </xf>
    <xf numFmtId="48" fontId="9" fillId="3" borderId="9" xfId="0" applyNumberFormat="1" applyFont="1" applyFill="1" applyBorder="1" applyAlignment="1">
      <alignment horizontal="center"/>
    </xf>
    <xf numFmtId="0" fontId="0" fillId="11" borderId="0" xfId="0" applyFill="1"/>
    <xf numFmtId="0" fontId="8" fillId="11" borderId="0" xfId="0" applyFont="1" applyFill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7" xfId="0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32" xfId="0" applyBorder="1"/>
    <xf numFmtId="0" fontId="0" fillId="10" borderId="27" xfId="0" applyFill="1" applyBorder="1" applyAlignment="1">
      <alignment horizontal="center"/>
    </xf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8" fillId="11" borderId="17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10" borderId="20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10" borderId="19" xfId="0" applyFont="1" applyFill="1" applyBorder="1" applyAlignment="1">
      <alignment horizontal="center"/>
    </xf>
    <xf numFmtId="0" fontId="8" fillId="10" borderId="21" xfId="0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0" borderId="29" xfId="0" applyBorder="1" applyAlignment="1">
      <alignment wrapText="1"/>
    </xf>
    <xf numFmtId="0" fontId="0" fillId="0" borderId="35" xfId="0" applyBorder="1"/>
    <xf numFmtId="0" fontId="0" fillId="0" borderId="36" xfId="0" applyBorder="1"/>
    <xf numFmtId="0" fontId="8" fillId="11" borderId="22" xfId="0" applyFon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48" fontId="14" fillId="3" borderId="1" xfId="0" applyNumberFormat="1" applyFont="1" applyFill="1" applyBorder="1" applyAlignment="1">
      <alignment horizontal="center"/>
    </xf>
    <xf numFmtId="48" fontId="11" fillId="3" borderId="6" xfId="0" applyNumberFormat="1" applyFont="1" applyFill="1" applyBorder="1"/>
    <xf numFmtId="48" fontId="11" fillId="3" borderId="7" xfId="0" applyNumberFormat="1" applyFont="1" applyFill="1" applyBorder="1"/>
    <xf numFmtId="0" fontId="15" fillId="0" borderId="13" xfId="0" applyFont="1" applyBorder="1" applyAlignment="1">
      <alignment horizontal="center"/>
    </xf>
    <xf numFmtId="48" fontId="11" fillId="0" borderId="4" xfId="0" applyNumberFormat="1" applyFont="1" applyBorder="1"/>
    <xf numFmtId="0" fontId="0" fillId="4" borderId="0" xfId="0" applyFill="1"/>
    <xf numFmtId="0" fontId="0" fillId="4" borderId="11" xfId="0" applyFill="1" applyBorder="1"/>
    <xf numFmtId="0" fontId="0" fillId="4" borderId="12" xfId="0" applyFill="1" applyBorder="1"/>
    <xf numFmtId="0" fontId="0" fillId="4" borderId="12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4" xfId="0" applyFill="1" applyBorder="1"/>
    <xf numFmtId="0" fontId="0" fillId="4" borderId="0" xfId="0" applyFill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6" xfId="0" applyFill="1" applyBorder="1"/>
    <xf numFmtId="0" fontId="0" fillId="4" borderId="17" xfId="0" applyFill="1" applyBorder="1"/>
    <xf numFmtId="0" fontId="0" fillId="4" borderId="17" xfId="0" applyFill="1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4" borderId="13" xfId="0" applyFill="1" applyBorder="1"/>
    <xf numFmtId="0" fontId="0" fillId="4" borderId="15" xfId="0" applyFill="1" applyBorder="1"/>
    <xf numFmtId="0" fontId="0" fillId="4" borderId="18" xfId="0" applyFill="1" applyBorder="1"/>
    <xf numFmtId="48" fontId="0" fillId="4" borderId="13" xfId="0" applyNumberFormat="1" applyFill="1" applyBorder="1"/>
    <xf numFmtId="48" fontId="0" fillId="4" borderId="15" xfId="0" applyNumberFormat="1" applyFill="1" applyBorder="1"/>
    <xf numFmtId="48" fontId="0" fillId="4" borderId="18" xfId="0" applyNumberFormat="1" applyFill="1" applyBorder="1"/>
    <xf numFmtId="0" fontId="0" fillId="4" borderId="14" xfId="0" applyFill="1" applyBorder="1" applyAlignment="1">
      <alignment horizontal="left"/>
    </xf>
    <xf numFmtId="48" fontId="0" fillId="12" borderId="1" xfId="0" applyNumberForma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10" fillId="4" borderId="1" xfId="0" applyFont="1" applyFill="1" applyBorder="1"/>
    <xf numFmtId="0" fontId="0" fillId="4" borderId="2" xfId="0" applyFill="1" applyBorder="1"/>
    <xf numFmtId="48" fontId="11" fillId="3" borderId="3" xfId="0" applyNumberFormat="1" applyFont="1" applyFill="1" applyBorder="1"/>
    <xf numFmtId="48" fontId="11" fillId="0" borderId="5" xfId="0" applyNumberFormat="1" applyFont="1" applyBorder="1"/>
    <xf numFmtId="48" fontId="0" fillId="13" borderId="1" xfId="0" applyNumberFormat="1" applyFill="1" applyBorder="1"/>
    <xf numFmtId="48" fontId="0" fillId="4" borderId="2" xfId="0" applyNumberFormat="1" applyFill="1" applyBorder="1"/>
    <xf numFmtId="48" fontId="0" fillId="4" borderId="19" xfId="0" applyNumberFormat="1" applyFill="1" applyBorder="1"/>
    <xf numFmtId="48" fontId="0" fillId="0" borderId="21" xfId="0" applyNumberFormat="1" applyBorder="1"/>
    <xf numFmtId="48" fontId="0" fillId="3" borderId="2" xfId="0" applyNumberFormat="1" applyFill="1" applyBorder="1"/>
    <xf numFmtId="48" fontId="0" fillId="0" borderId="2" xfId="0" applyNumberFormat="1" applyBorder="1"/>
    <xf numFmtId="48" fontId="0" fillId="4" borderId="21" xfId="0" applyNumberFormat="1" applyFill="1" applyBorder="1"/>
    <xf numFmtId="48" fontId="0" fillId="3" borderId="37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3" borderId="12" xfId="0" applyFill="1" applyBorder="1"/>
    <xf numFmtId="0" fontId="0" fillId="3" borderId="17" xfId="0" applyFill="1" applyBorder="1"/>
    <xf numFmtId="0" fontId="8" fillId="0" borderId="17" xfId="0" applyFont="1" applyBorder="1" applyAlignment="1">
      <alignment horizontal="center"/>
    </xf>
    <xf numFmtId="0" fontId="0" fillId="0" borderId="18" xfId="0" applyBorder="1"/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0" fillId="0" borderId="15" xfId="0" applyBorder="1"/>
    <xf numFmtId="48" fontId="0" fillId="3" borderId="20" xfId="0" applyNumberFormat="1" applyFill="1" applyBorder="1"/>
    <xf numFmtId="11" fontId="11" fillId="3" borderId="1" xfId="0" applyNumberFormat="1" applyFont="1" applyFill="1" applyBorder="1"/>
    <xf numFmtId="48" fontId="0" fillId="4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right"/>
    </xf>
    <xf numFmtId="48" fontId="0" fillId="4" borderId="1" xfId="0" applyNumberFormat="1" applyFill="1" applyBorder="1" applyAlignment="1">
      <alignment horizontal="right"/>
    </xf>
    <xf numFmtId="48" fontId="0" fillId="3" borderId="21" xfId="0" applyNumberFormat="1" applyFill="1" applyBorder="1"/>
    <xf numFmtId="48" fontId="13" fillId="12" borderId="1" xfId="0" applyNumberFormat="1" applyFont="1" applyFill="1" applyBorder="1" applyAlignment="1">
      <alignment horizontal="center"/>
    </xf>
    <xf numFmtId="48" fontId="0" fillId="4" borderId="2" xfId="0" applyNumberFormat="1" applyFill="1" applyBorder="1" applyAlignment="1">
      <alignment horizontal="center"/>
    </xf>
    <xf numFmtId="48" fontId="0" fillId="4" borderId="19" xfId="0" applyNumberFormat="1" applyFill="1" applyBorder="1" applyAlignment="1">
      <alignment horizontal="center"/>
    </xf>
    <xf numFmtId="48" fontId="0" fillId="4" borderId="21" xfId="0" applyNumberFormat="1" applyFill="1" applyBorder="1" applyAlignment="1">
      <alignment horizontal="center"/>
    </xf>
    <xf numFmtId="48" fontId="0" fillId="3" borderId="37" xfId="0" applyNumberFormat="1" applyFill="1" applyBorder="1" applyAlignment="1">
      <alignment horizontal="center"/>
    </xf>
    <xf numFmtId="0" fontId="0" fillId="0" borderId="39" xfId="0" applyBorder="1"/>
    <xf numFmtId="0" fontId="0" fillId="0" borderId="40" xfId="0" applyBorder="1"/>
    <xf numFmtId="0" fontId="8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3" xfId="0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0" fillId="0" borderId="44" xfId="0" applyBorder="1"/>
    <xf numFmtId="0" fontId="0" fillId="3" borderId="1" xfId="0" applyFill="1" applyBorder="1"/>
    <xf numFmtId="48" fontId="11" fillId="3" borderId="2" xfId="0" applyNumberFormat="1" applyFont="1" applyFill="1" applyBorder="1"/>
    <xf numFmtId="48" fontId="11" fillId="0" borderId="2" xfId="0" applyNumberFormat="1" applyFont="1" applyBorder="1"/>
    <xf numFmtId="48" fontId="11" fillId="0" borderId="8" xfId="0" applyNumberFormat="1" applyFont="1" applyBorder="1"/>
    <xf numFmtId="48" fontId="11" fillId="0" borderId="9" xfId="0" applyNumberFormat="1" applyFont="1" applyBorder="1"/>
    <xf numFmtId="48" fontId="11" fillId="4" borderId="3" xfId="0" applyNumberFormat="1" applyFont="1" applyFill="1" applyBorder="1"/>
    <xf numFmtId="48" fontId="11" fillId="4" borderId="4" xfId="0" applyNumberFormat="1" applyFont="1" applyFill="1" applyBorder="1"/>
    <xf numFmtId="48" fontId="11" fillId="4" borderId="45" xfId="0" applyNumberFormat="1" applyFont="1" applyFill="1" applyBorder="1"/>
    <xf numFmtId="48" fontId="11" fillId="4" borderId="2" xfId="0" applyNumberFormat="1" applyFont="1" applyFill="1" applyBorder="1"/>
    <xf numFmtId="48" fontId="11" fillId="4" borderId="8" xfId="0" applyNumberFormat="1" applyFont="1" applyFill="1" applyBorder="1"/>
    <xf numFmtId="48" fontId="11" fillId="4" borderId="9" xfId="0" applyNumberFormat="1" applyFont="1" applyFill="1" applyBorder="1"/>
    <xf numFmtId="48" fontId="11" fillId="4" borderId="46" xfId="0" applyNumberFormat="1" applyFont="1" applyFill="1" applyBorder="1"/>
    <xf numFmtId="48" fontId="0" fillId="4" borderId="23" xfId="0" applyNumberFormat="1" applyFill="1" applyBorder="1" applyAlignment="1">
      <alignment horizontal="center"/>
    </xf>
    <xf numFmtId="48" fontId="6" fillId="4" borderId="23" xfId="0" applyNumberFormat="1" applyFont="1" applyFill="1" applyBorder="1" applyAlignment="1">
      <alignment horizontal="center"/>
    </xf>
    <xf numFmtId="48" fontId="0" fillId="3" borderId="1" xfId="0" applyNumberFormat="1" applyFill="1" applyBorder="1" applyAlignment="1">
      <alignment horizontal="right"/>
    </xf>
    <xf numFmtId="48" fontId="11" fillId="3" borderId="10" xfId="0" applyNumberFormat="1" applyFont="1" applyFill="1" applyBorder="1"/>
    <xf numFmtId="48" fontId="0" fillId="4" borderId="0" xfId="0" applyNumberFormat="1" applyFill="1" applyBorder="1" applyAlignment="1">
      <alignment horizontal="right"/>
    </xf>
    <xf numFmtId="48" fontId="0" fillId="0" borderId="1" xfId="0" applyNumberFormat="1" applyFill="1" applyBorder="1"/>
    <xf numFmtId="48" fontId="0" fillId="4" borderId="1" xfId="0" applyNumberFormat="1" applyFont="1" applyFill="1" applyBorder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FF00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F57"/>
  <sheetViews>
    <sheetView zoomScaleNormal="100" workbookViewId="0">
      <selection activeCell="T11" sqref="T11"/>
    </sheetView>
  </sheetViews>
  <sheetFormatPr baseColWidth="10" defaultRowHeight="15" x14ac:dyDescent="0.2"/>
  <cols>
    <col min="1" max="1" width="7.33203125" bestFit="1" customWidth="1"/>
    <col min="2" max="7" width="7.1640625" bestFit="1" customWidth="1"/>
    <col min="8" max="8" width="6.83203125" bestFit="1" customWidth="1"/>
    <col min="9" max="9" width="7.1640625" customWidth="1"/>
    <col min="10" max="10" width="6.33203125" bestFit="1" customWidth="1"/>
    <col min="11" max="11" width="6.83203125" bestFit="1" customWidth="1"/>
    <col min="12" max="14" width="7.1640625" bestFit="1" customWidth="1"/>
    <col min="15" max="15" width="6.83203125" bestFit="1" customWidth="1"/>
    <col min="16" max="16" width="7.1640625" bestFit="1" customWidth="1"/>
    <col min="17" max="19" width="6.83203125" bestFit="1" customWidth="1"/>
    <col min="20" max="20" width="6.33203125" bestFit="1" customWidth="1"/>
    <col min="21" max="21" width="6.83203125" bestFit="1" customWidth="1"/>
    <col min="22" max="24" width="7.83203125" bestFit="1" customWidth="1"/>
    <col min="25" max="25" width="6.33203125" bestFit="1" customWidth="1"/>
    <col min="26" max="26" width="7.83203125" bestFit="1" customWidth="1"/>
    <col min="27" max="27" width="6.33203125" customWidth="1"/>
    <col min="28" max="28" width="5.5" style="84" customWidth="1"/>
    <col min="29" max="29" width="7.5" bestFit="1" customWidth="1"/>
    <col min="30" max="30" width="6.33203125" bestFit="1" customWidth="1"/>
    <col min="31" max="31" width="5.5" bestFit="1" customWidth="1"/>
    <col min="32" max="32" width="6.33203125" bestFit="1" customWidth="1"/>
    <col min="33" max="33" width="5" bestFit="1" customWidth="1"/>
    <col min="34" max="34" width="2.1640625" bestFit="1" customWidth="1"/>
    <col min="35" max="35" width="1.83203125" bestFit="1" customWidth="1"/>
    <col min="36" max="36" width="2.1640625" bestFit="1" customWidth="1"/>
    <col min="37" max="37" width="1.6640625" bestFit="1" customWidth="1"/>
    <col min="38" max="38" width="5" bestFit="1" customWidth="1"/>
    <col min="39" max="39" width="2.1640625" bestFit="1" customWidth="1"/>
    <col min="40" max="40" width="1.83203125" bestFit="1" customWidth="1"/>
    <col min="41" max="41" width="2.1640625" bestFit="1" customWidth="1"/>
    <col min="42" max="42" width="1.6640625" bestFit="1" customWidth="1"/>
    <col min="43" max="43" width="5" bestFit="1" customWidth="1"/>
    <col min="44" max="44" width="2.1640625" bestFit="1" customWidth="1"/>
    <col min="45" max="45" width="1.83203125" bestFit="1" customWidth="1"/>
    <col min="46" max="46" width="2.1640625" bestFit="1" customWidth="1"/>
    <col min="47" max="47" width="1.6640625" bestFit="1" customWidth="1"/>
    <col min="48" max="48" width="5" bestFit="1" customWidth="1"/>
    <col min="49" max="49" width="2.1640625" bestFit="1" customWidth="1"/>
    <col min="50" max="50" width="1.83203125" bestFit="1" customWidth="1"/>
    <col min="51" max="51" width="2.1640625" bestFit="1" customWidth="1"/>
    <col min="52" max="52" width="1.6640625" bestFit="1" customWidth="1"/>
    <col min="53" max="53" width="5" bestFit="1" customWidth="1"/>
    <col min="54" max="54" width="2.1640625" bestFit="1" customWidth="1"/>
    <col min="55" max="55" width="1.83203125" bestFit="1" customWidth="1"/>
    <col min="56" max="56" width="2.1640625" bestFit="1" customWidth="1"/>
    <col min="57" max="57" width="1.6640625" bestFit="1" customWidth="1"/>
    <col min="58" max="58" width="3.5" customWidth="1"/>
    <col min="59" max="59" width="7.5" bestFit="1" customWidth="1"/>
    <col min="60" max="60" width="8" bestFit="1" customWidth="1"/>
    <col min="61" max="61" width="7.1640625" bestFit="1" customWidth="1"/>
    <col min="62" max="62" width="4.5" bestFit="1" customWidth="1"/>
    <col min="63" max="63" width="12.5" bestFit="1" customWidth="1"/>
  </cols>
  <sheetData>
    <row r="1" spans="1:58" x14ac:dyDescent="0.2">
      <c r="A1" s="1" t="s">
        <v>17</v>
      </c>
    </row>
    <row r="2" spans="1:58" x14ac:dyDescent="0.2">
      <c r="B2" s="5">
        <v>2002</v>
      </c>
      <c r="G2" s="5">
        <v>2003</v>
      </c>
      <c r="L2" s="7">
        <v>2004</v>
      </c>
      <c r="Q2" s="7">
        <v>2005</v>
      </c>
      <c r="V2" s="7">
        <v>2006</v>
      </c>
    </row>
    <row r="3" spans="1:58" ht="16" thickBot="1" x14ac:dyDescent="0.25">
      <c r="B3" s="4" t="s">
        <v>20</v>
      </c>
      <c r="C3" s="4" t="s">
        <v>23</v>
      </c>
      <c r="D3" s="4" t="s">
        <v>18</v>
      </c>
      <c r="E3" s="4" t="s">
        <v>22</v>
      </c>
      <c r="F3" s="4" t="s">
        <v>21</v>
      </c>
      <c r="G3" s="4" t="s">
        <v>20</v>
      </c>
      <c r="H3" s="4" t="s">
        <v>23</v>
      </c>
      <c r="I3" s="4" t="s">
        <v>18</v>
      </c>
      <c r="J3" s="4" t="s">
        <v>22</v>
      </c>
      <c r="K3" s="4" t="s">
        <v>21</v>
      </c>
      <c r="L3" s="4" t="s">
        <v>20</v>
      </c>
      <c r="M3" s="4" t="s">
        <v>23</v>
      </c>
      <c r="N3" s="4" t="s">
        <v>18</v>
      </c>
      <c r="O3" s="4" t="s">
        <v>22</v>
      </c>
      <c r="P3" s="4" t="s">
        <v>21</v>
      </c>
      <c r="Q3" s="4" t="s">
        <v>20</v>
      </c>
      <c r="R3" s="4" t="s">
        <v>23</v>
      </c>
      <c r="S3" s="4" t="s">
        <v>18</v>
      </c>
      <c r="T3" s="4" t="s">
        <v>22</v>
      </c>
      <c r="U3" s="4" t="s">
        <v>21</v>
      </c>
      <c r="V3" s="4" t="s">
        <v>20</v>
      </c>
      <c r="W3" s="4" t="s">
        <v>23</v>
      </c>
      <c r="X3" s="4" t="s">
        <v>18</v>
      </c>
      <c r="Y3" s="4" t="s">
        <v>22</v>
      </c>
      <c r="Z3" s="4" t="s">
        <v>21</v>
      </c>
      <c r="AB3" s="85"/>
      <c r="AC3" s="88" t="s">
        <v>99</v>
      </c>
      <c r="AD3" s="85" t="s">
        <v>74</v>
      </c>
      <c r="AE3" s="85" t="s">
        <v>77</v>
      </c>
      <c r="AF3" s="85" t="s">
        <v>112</v>
      </c>
    </row>
    <row r="4" spans="1:58" ht="22.25" customHeight="1" x14ac:dyDescent="0.2">
      <c r="A4" s="1" t="s">
        <v>1</v>
      </c>
      <c r="B4" s="48">
        <v>800000000</v>
      </c>
      <c r="C4" s="49">
        <v>840000000</v>
      </c>
      <c r="D4" s="147">
        <v>960000000</v>
      </c>
      <c r="E4" s="49">
        <v>560000000</v>
      </c>
      <c r="F4" s="50">
        <v>840000000</v>
      </c>
      <c r="G4" s="142" t="s">
        <v>102</v>
      </c>
      <c r="H4" s="52" t="s">
        <v>102</v>
      </c>
      <c r="I4" s="52" t="s">
        <v>102</v>
      </c>
      <c r="J4" s="52" t="s">
        <v>102</v>
      </c>
      <c r="K4" s="53" t="s">
        <v>102</v>
      </c>
      <c r="L4" s="48">
        <v>280000000</v>
      </c>
      <c r="M4" s="49">
        <v>294000000</v>
      </c>
      <c r="N4" s="49">
        <v>336000000</v>
      </c>
      <c r="O4" s="49">
        <v>196000000</v>
      </c>
      <c r="P4" s="50">
        <v>294000000</v>
      </c>
      <c r="Q4" s="48">
        <v>120000000</v>
      </c>
      <c r="R4" s="49">
        <v>126000000</v>
      </c>
      <c r="S4" s="49">
        <v>144000000</v>
      </c>
      <c r="T4" s="49">
        <v>84000000</v>
      </c>
      <c r="U4" s="50">
        <v>126000000</v>
      </c>
      <c r="V4" s="51" t="s">
        <v>102</v>
      </c>
      <c r="W4" s="52" t="s">
        <v>102</v>
      </c>
      <c r="X4" s="52" t="s">
        <v>102</v>
      </c>
      <c r="Y4" s="52" t="s">
        <v>102</v>
      </c>
      <c r="Z4" s="52" t="s">
        <v>102</v>
      </c>
      <c r="AB4" s="86" t="s">
        <v>105</v>
      </c>
      <c r="AC4" s="89">
        <f t="shared" ref="AC4:AC11" ca="1" si="0">AnzahlBackgroundColor(B4:Z4)+AnzahlBackgroundColor(B16:Z16)+AnzahlBackgroundColor(B28:Z28)+AnzahlBackgroundColor(B39:Z39)</f>
        <v>83</v>
      </c>
      <c r="AD4" s="90">
        <f ca="1">100-AnzahlBackgroundColor(B4:Z4)-AnzahlBackgroundColor(B16:Z16)-AnzahlBackgroundColor(B28:Z28)-AnzahlBackgroundColor(B39:Z39)</f>
        <v>90</v>
      </c>
      <c r="AE4" s="91">
        <f t="shared" ref="AE4:AE12" ca="1" si="1">AC4/AD4*100</f>
        <v>92.222222222222229</v>
      </c>
      <c r="AF4" s="85">
        <f ca="1">AC4*0.01</f>
        <v>0.83000000000000007</v>
      </c>
      <c r="BF4" s="4"/>
    </row>
    <row r="5" spans="1:58" ht="24" customHeight="1" x14ac:dyDescent="0.2">
      <c r="A5" s="1" t="s">
        <v>2</v>
      </c>
      <c r="B5" s="54">
        <v>360000000</v>
      </c>
      <c r="C5" s="55">
        <v>483000000</v>
      </c>
      <c r="D5" s="146">
        <v>507800000</v>
      </c>
      <c r="E5" s="55">
        <v>311800000</v>
      </c>
      <c r="F5" s="56">
        <v>419400000</v>
      </c>
      <c r="G5" s="143">
        <v>200000000</v>
      </c>
      <c r="H5" s="55">
        <v>105000000</v>
      </c>
      <c r="I5" s="55">
        <v>164200000</v>
      </c>
      <c r="J5" s="55">
        <v>80200000</v>
      </c>
      <c r="K5" s="56">
        <v>168600000</v>
      </c>
      <c r="L5" s="54">
        <v>127000000</v>
      </c>
      <c r="M5" s="55">
        <v>133350000</v>
      </c>
      <c r="N5" s="55">
        <v>152400000</v>
      </c>
      <c r="O5" s="55">
        <v>88900000</v>
      </c>
      <c r="P5" s="56">
        <v>133350000</v>
      </c>
      <c r="Q5" s="54">
        <v>73000000</v>
      </c>
      <c r="R5" s="55">
        <v>76650000</v>
      </c>
      <c r="S5" s="55">
        <v>87600000</v>
      </c>
      <c r="T5" s="55">
        <v>51100000</v>
      </c>
      <c r="U5" s="56">
        <v>76650000</v>
      </c>
      <c r="V5" s="54">
        <v>108000000</v>
      </c>
      <c r="W5" s="55">
        <v>113400000</v>
      </c>
      <c r="X5" s="55">
        <v>129600000</v>
      </c>
      <c r="Y5" s="55">
        <v>75600000</v>
      </c>
      <c r="Z5" s="56">
        <v>148400000</v>
      </c>
      <c r="AB5" s="86" t="s">
        <v>106</v>
      </c>
      <c r="AC5" s="89">
        <f t="shared" ca="1" si="0"/>
        <v>85</v>
      </c>
      <c r="AD5" s="90">
        <f t="shared" ref="AD5:AD10" ca="1" si="2">100-AnzahlBackgroundColor(B5:Z5)-AnzahlBackgroundColor(B17:Z17)-AnzahlBackgroundColor(B29:Z29)-AnzahlBackgroundColor(B40:Z40)</f>
        <v>100</v>
      </c>
      <c r="AE5" s="91">
        <f t="shared" ca="1" si="1"/>
        <v>85</v>
      </c>
      <c r="AF5" s="85">
        <f ca="1">AC5*0.02</f>
        <v>1.7</v>
      </c>
    </row>
    <row r="6" spans="1:58" ht="21" customHeight="1" x14ac:dyDescent="0.2">
      <c r="A6" s="1" t="s">
        <v>3</v>
      </c>
      <c r="B6" s="54">
        <v>480000000</v>
      </c>
      <c r="C6" s="55">
        <v>504000000</v>
      </c>
      <c r="D6" s="146">
        <v>576000000</v>
      </c>
      <c r="E6" s="55">
        <v>336000000</v>
      </c>
      <c r="F6" s="56">
        <v>504000000</v>
      </c>
      <c r="G6" s="144" t="s">
        <v>102</v>
      </c>
      <c r="H6" s="59" t="s">
        <v>102</v>
      </c>
      <c r="I6" s="59" t="s">
        <v>102</v>
      </c>
      <c r="J6" s="59" t="s">
        <v>102</v>
      </c>
      <c r="K6" s="60" t="s">
        <v>102</v>
      </c>
      <c r="L6" s="54">
        <v>112000000</v>
      </c>
      <c r="M6" s="55">
        <v>117600000</v>
      </c>
      <c r="N6" s="55">
        <v>134400000</v>
      </c>
      <c r="O6" s="55">
        <v>78400000</v>
      </c>
      <c r="P6" s="56">
        <v>117600000</v>
      </c>
      <c r="Q6" s="61">
        <v>44000000</v>
      </c>
      <c r="R6" s="61">
        <v>46200000</v>
      </c>
      <c r="S6" s="61">
        <v>52800000</v>
      </c>
      <c r="T6" s="61">
        <v>30800000</v>
      </c>
      <c r="U6" s="61">
        <v>46200000</v>
      </c>
      <c r="V6" s="54">
        <v>27000000</v>
      </c>
      <c r="W6" s="55">
        <v>28350000</v>
      </c>
      <c r="X6" s="55">
        <v>32400000</v>
      </c>
      <c r="Y6" s="55">
        <v>18900000</v>
      </c>
      <c r="Z6" s="56">
        <v>28350000</v>
      </c>
      <c r="AB6" s="86" t="s">
        <v>107</v>
      </c>
      <c r="AC6" s="89">
        <f t="shared" ca="1" si="0"/>
        <v>80</v>
      </c>
      <c r="AD6" s="90">
        <f t="shared" ca="1" si="2"/>
        <v>95</v>
      </c>
      <c r="AE6" s="91">
        <f t="shared" ca="1" si="1"/>
        <v>84.210526315789465</v>
      </c>
      <c r="AF6" s="85">
        <f ca="1">AC6*0.05</f>
        <v>4</v>
      </c>
    </row>
    <row r="7" spans="1:58" ht="21.75" customHeight="1" x14ac:dyDescent="0.2">
      <c r="A7" s="1" t="s">
        <v>4</v>
      </c>
      <c r="B7" s="54">
        <v>696145000</v>
      </c>
      <c r="C7" s="55">
        <v>721950000</v>
      </c>
      <c r="D7" s="146">
        <v>838800000</v>
      </c>
      <c r="E7" s="55">
        <v>494300000</v>
      </c>
      <c r="F7" s="56">
        <v>758640000</v>
      </c>
      <c r="G7" s="143">
        <v>50655000</v>
      </c>
      <c r="H7" s="55">
        <v>50850000</v>
      </c>
      <c r="I7" s="55">
        <v>6000000</v>
      </c>
      <c r="J7" s="55">
        <v>13000000</v>
      </c>
      <c r="K7" s="56">
        <v>25500000</v>
      </c>
      <c r="L7" s="58" t="s">
        <v>102</v>
      </c>
      <c r="M7" s="57">
        <v>11195000</v>
      </c>
      <c r="N7" s="55">
        <v>51360000</v>
      </c>
      <c r="O7" s="55">
        <v>15460000</v>
      </c>
      <c r="P7" s="60" t="s">
        <v>102</v>
      </c>
      <c r="Q7" s="58" t="s">
        <v>102</v>
      </c>
      <c r="R7" s="59" t="s">
        <v>102</v>
      </c>
      <c r="S7" s="59" t="s">
        <v>102</v>
      </c>
      <c r="T7" s="59" t="s">
        <v>102</v>
      </c>
      <c r="U7" s="60" t="s">
        <v>102</v>
      </c>
      <c r="V7" s="58" t="s">
        <v>102</v>
      </c>
      <c r="W7" s="59" t="s">
        <v>102</v>
      </c>
      <c r="X7" s="59" t="s">
        <v>102</v>
      </c>
      <c r="Y7" s="59" t="s">
        <v>102</v>
      </c>
      <c r="Z7" s="60" t="s">
        <v>102</v>
      </c>
      <c r="AB7" s="86" t="s">
        <v>108</v>
      </c>
      <c r="AC7" s="89">
        <f t="shared" ca="1" si="0"/>
        <v>31</v>
      </c>
      <c r="AD7" s="90">
        <f t="shared" ca="1" si="2"/>
        <v>38</v>
      </c>
      <c r="AE7" s="91">
        <f t="shared" ca="1" si="1"/>
        <v>81.578947368421055</v>
      </c>
      <c r="AF7" s="85">
        <f ca="1">AC7*0.1</f>
        <v>3.1</v>
      </c>
    </row>
    <row r="8" spans="1:58" ht="22.75" customHeight="1" x14ac:dyDescent="0.2">
      <c r="A8" s="1" t="s">
        <v>5</v>
      </c>
      <c r="B8" s="54">
        <v>378145000</v>
      </c>
      <c r="C8" s="55">
        <v>367000000</v>
      </c>
      <c r="D8" s="146">
        <v>421600000</v>
      </c>
      <c r="E8" s="55">
        <v>251900000</v>
      </c>
      <c r="F8" s="56">
        <v>441000000</v>
      </c>
      <c r="G8" s="143">
        <v>41855000</v>
      </c>
      <c r="H8" s="55">
        <v>24100000</v>
      </c>
      <c r="I8" s="55">
        <v>82400000</v>
      </c>
      <c r="J8" s="55">
        <v>42100000</v>
      </c>
      <c r="K8" s="60" t="s">
        <v>102</v>
      </c>
      <c r="L8" s="58" t="s">
        <v>102</v>
      </c>
      <c r="M8" s="55">
        <v>49755000</v>
      </c>
      <c r="N8" s="59" t="s">
        <v>102</v>
      </c>
      <c r="O8" s="59" t="s">
        <v>102</v>
      </c>
      <c r="P8" s="60" t="s">
        <v>102</v>
      </c>
      <c r="Q8" s="54">
        <v>8000000</v>
      </c>
      <c r="R8" s="55">
        <v>8400000</v>
      </c>
      <c r="S8" s="55">
        <v>9600000</v>
      </c>
      <c r="T8" s="55">
        <v>5600000</v>
      </c>
      <c r="U8" s="63">
        <v>8400000</v>
      </c>
      <c r="V8" s="54">
        <v>39000000</v>
      </c>
      <c r="W8" s="55">
        <v>40950000</v>
      </c>
      <c r="X8" s="55">
        <v>46800000</v>
      </c>
      <c r="Y8" s="55">
        <v>27300000</v>
      </c>
      <c r="Z8" s="56">
        <v>40950000</v>
      </c>
      <c r="AB8" s="86" t="s">
        <v>109</v>
      </c>
      <c r="AC8" s="89">
        <f t="shared" ca="1" si="0"/>
        <v>81</v>
      </c>
      <c r="AD8" s="90">
        <f t="shared" ca="1" si="2"/>
        <v>95</v>
      </c>
      <c r="AE8" s="91">
        <f t="shared" ca="1" si="1"/>
        <v>85.263157894736835</v>
      </c>
      <c r="AF8" s="85">
        <f ca="1">AC8*0.2</f>
        <v>16.2</v>
      </c>
    </row>
    <row r="9" spans="1:58" ht="25.25" customHeight="1" x14ac:dyDescent="0.2">
      <c r="A9" s="1" t="s">
        <v>6</v>
      </c>
      <c r="B9" s="54">
        <v>337745000</v>
      </c>
      <c r="C9" s="55">
        <v>370240000</v>
      </c>
      <c r="D9" s="146">
        <v>430480000</v>
      </c>
      <c r="E9" s="55">
        <v>256560000</v>
      </c>
      <c r="F9" s="56">
        <v>401400000</v>
      </c>
      <c r="G9" s="144" t="s">
        <v>102</v>
      </c>
      <c r="H9" s="55">
        <v>70620000</v>
      </c>
      <c r="I9" s="59" t="s">
        <v>102</v>
      </c>
      <c r="J9" s="59" t="s">
        <v>102</v>
      </c>
      <c r="K9" s="56">
        <v>39600000</v>
      </c>
      <c r="L9" s="54">
        <v>82255000</v>
      </c>
      <c r="M9" s="59" t="s">
        <v>102</v>
      </c>
      <c r="N9" s="55">
        <v>73520000</v>
      </c>
      <c r="O9" s="55">
        <v>37440000</v>
      </c>
      <c r="P9" s="60" t="s">
        <v>102</v>
      </c>
      <c r="Q9" s="58" t="s">
        <v>102</v>
      </c>
      <c r="R9" s="59" t="s">
        <v>102</v>
      </c>
      <c r="S9" s="59" t="s">
        <v>102</v>
      </c>
      <c r="T9" s="59" t="s">
        <v>102</v>
      </c>
      <c r="U9" s="60" t="s">
        <v>102</v>
      </c>
      <c r="V9" s="58" t="s">
        <v>102</v>
      </c>
      <c r="W9" s="59" t="s">
        <v>102</v>
      </c>
      <c r="X9" s="59" t="s">
        <v>102</v>
      </c>
      <c r="Y9" s="59" t="s">
        <v>102</v>
      </c>
      <c r="Z9" s="60" t="s">
        <v>102</v>
      </c>
      <c r="AB9" s="86" t="s">
        <v>110</v>
      </c>
      <c r="AC9" s="89">
        <f t="shared" ca="1" si="0"/>
        <v>10</v>
      </c>
      <c r="AD9" s="90">
        <f t="shared" ca="1" si="2"/>
        <v>10</v>
      </c>
      <c r="AE9" s="91">
        <f t="shared" ca="1" si="1"/>
        <v>100</v>
      </c>
      <c r="AF9" s="85">
        <f ca="1">AC9*0.5</f>
        <v>5</v>
      </c>
    </row>
    <row r="10" spans="1:58" ht="24.75" customHeight="1" x14ac:dyDescent="0.2">
      <c r="A10" s="1" t="s">
        <v>7</v>
      </c>
      <c r="B10" s="54">
        <v>367895000</v>
      </c>
      <c r="C10" s="55">
        <v>372600000</v>
      </c>
      <c r="D10" s="146">
        <v>439800000</v>
      </c>
      <c r="E10" s="55">
        <v>266350000</v>
      </c>
      <c r="F10" s="56">
        <v>372308000</v>
      </c>
      <c r="G10" s="143">
        <v>50250000</v>
      </c>
      <c r="H10" s="59" t="s">
        <v>102</v>
      </c>
      <c r="I10" s="59" t="s">
        <v>102</v>
      </c>
      <c r="J10" s="59" t="s">
        <v>102</v>
      </c>
      <c r="K10" s="63">
        <v>29850000</v>
      </c>
      <c r="L10" s="54">
        <v>21855000</v>
      </c>
      <c r="M10" s="55">
        <v>89255000</v>
      </c>
      <c r="N10" s="55">
        <v>88200000</v>
      </c>
      <c r="O10" s="55">
        <v>41650000</v>
      </c>
      <c r="P10" s="60" t="s">
        <v>102</v>
      </c>
      <c r="Q10" s="58" t="s">
        <v>102</v>
      </c>
      <c r="R10" s="59" t="s">
        <v>102</v>
      </c>
      <c r="S10" s="59" t="s">
        <v>102</v>
      </c>
      <c r="T10" s="59" t="s">
        <v>102</v>
      </c>
      <c r="U10" s="56">
        <v>59842000</v>
      </c>
      <c r="V10" s="58" t="s">
        <v>102</v>
      </c>
      <c r="W10" s="59" t="s">
        <v>102</v>
      </c>
      <c r="X10" s="59" t="s">
        <v>102</v>
      </c>
      <c r="Y10" s="59" t="s">
        <v>102</v>
      </c>
      <c r="Z10" s="60" t="s">
        <v>102</v>
      </c>
      <c r="AB10" s="87">
        <v>1</v>
      </c>
      <c r="AC10" s="89">
        <f t="shared" ca="1" si="0"/>
        <v>11</v>
      </c>
      <c r="AD10" s="90">
        <f t="shared" ca="1" si="2"/>
        <v>12</v>
      </c>
      <c r="AE10" s="91">
        <f t="shared" ca="1" si="1"/>
        <v>91.666666666666657</v>
      </c>
      <c r="AF10" s="85">
        <f ca="1">AC10*1</f>
        <v>11</v>
      </c>
    </row>
    <row r="11" spans="1:58" ht="28.75" customHeight="1" thickBot="1" x14ac:dyDescent="0.25">
      <c r="A11" s="1" t="s">
        <v>8</v>
      </c>
      <c r="B11" s="64">
        <v>238920000</v>
      </c>
      <c r="C11" s="65">
        <v>231300000</v>
      </c>
      <c r="D11" s="148">
        <v>281090000</v>
      </c>
      <c r="E11" s="65">
        <v>180950000</v>
      </c>
      <c r="F11" s="66">
        <v>257820000</v>
      </c>
      <c r="G11" s="145">
        <v>20470000</v>
      </c>
      <c r="H11" s="65">
        <v>22170000</v>
      </c>
      <c r="I11" s="65">
        <v>24460000</v>
      </c>
      <c r="J11" s="65">
        <v>29140000</v>
      </c>
      <c r="K11" s="66">
        <v>19500000</v>
      </c>
      <c r="L11" s="64">
        <v>31570000</v>
      </c>
      <c r="M11" s="65">
        <v>19840000</v>
      </c>
      <c r="N11" s="67" t="s">
        <v>102</v>
      </c>
      <c r="O11" s="67" t="s">
        <v>102</v>
      </c>
      <c r="P11" s="66">
        <v>22510000</v>
      </c>
      <c r="Q11" s="68" t="s">
        <v>102</v>
      </c>
      <c r="R11" s="67" t="s">
        <v>102</v>
      </c>
      <c r="S11" s="67" t="s">
        <v>102</v>
      </c>
      <c r="T11" s="67" t="s">
        <v>102</v>
      </c>
      <c r="U11" s="69" t="s">
        <v>102</v>
      </c>
      <c r="V11" s="68" t="s">
        <v>102</v>
      </c>
      <c r="W11" s="67" t="s">
        <v>102</v>
      </c>
      <c r="X11" s="67" t="s">
        <v>102</v>
      </c>
      <c r="Y11" s="67" t="s">
        <v>102</v>
      </c>
      <c r="Z11" s="69" t="s">
        <v>102</v>
      </c>
      <c r="AB11" s="87">
        <v>2</v>
      </c>
      <c r="AC11" s="89">
        <f t="shared" ca="1" si="0"/>
        <v>42</v>
      </c>
      <c r="AD11" s="90">
        <f ca="1">100-AnzahlBackgroundColor(B11:Z11)-AnzahlBackgroundColor(B23:Z23)-AnzahlBackgroundColor(B35:Z35)-AnzahlBackgroundColor(B46:Z46)</f>
        <v>58</v>
      </c>
      <c r="AE11" s="91">
        <f t="shared" ca="1" si="1"/>
        <v>72.41379310344827</v>
      </c>
      <c r="AF11" s="85">
        <f ca="1">AC11*2</f>
        <v>84</v>
      </c>
    </row>
    <row r="12" spans="1:58" x14ac:dyDescent="0.2">
      <c r="B12" s="122" t="s">
        <v>117</v>
      </c>
      <c r="C12" s="122" t="s">
        <v>117</v>
      </c>
      <c r="D12" s="121" t="s">
        <v>116</v>
      </c>
      <c r="E12" s="122" t="s">
        <v>117</v>
      </c>
      <c r="F12" s="122" t="s">
        <v>117</v>
      </c>
      <c r="I12" t="s">
        <v>113</v>
      </c>
      <c r="AB12" s="86" t="s">
        <v>111</v>
      </c>
      <c r="AC12" s="86">
        <f ca="1" xml:space="preserve"> AC4+AC5+AC6+AC7+AC8+AC9+AC10+AC11</f>
        <v>423</v>
      </c>
      <c r="AD12" s="86">
        <f ca="1" xml:space="preserve"> AD4+AD5+AD6+AD7+AD8+AD9+AD10+AD11</f>
        <v>498</v>
      </c>
      <c r="AE12" s="92">
        <f t="shared" ca="1" si="1"/>
        <v>84.939759036144579</v>
      </c>
      <c r="AF12" s="86">
        <f ca="1" xml:space="preserve"> AF4+AF5+AF6+AF7+AF8+AF9+AF10+AF11</f>
        <v>125.83</v>
      </c>
    </row>
    <row r="14" spans="1:58" x14ac:dyDescent="0.2">
      <c r="B14" s="7">
        <v>2007</v>
      </c>
      <c r="G14" s="7">
        <v>2008</v>
      </c>
      <c r="L14" s="7">
        <v>2009</v>
      </c>
      <c r="Q14" s="7">
        <v>2010</v>
      </c>
      <c r="V14" s="7">
        <v>2011</v>
      </c>
      <c r="AC14" t="s">
        <v>167</v>
      </c>
    </row>
    <row r="15" spans="1:58" s="84" customFormat="1" ht="16" thickBot="1" x14ac:dyDescent="0.25">
      <c r="B15" s="84" t="s">
        <v>20</v>
      </c>
      <c r="C15" s="84" t="s">
        <v>23</v>
      </c>
      <c r="D15" s="84" t="s">
        <v>18</v>
      </c>
      <c r="E15" s="84" t="s">
        <v>22</v>
      </c>
      <c r="F15" s="84" t="s">
        <v>21</v>
      </c>
      <c r="G15" s="84" t="s">
        <v>20</v>
      </c>
      <c r="H15" s="84" t="s">
        <v>23</v>
      </c>
      <c r="I15" s="84" t="s">
        <v>18</v>
      </c>
      <c r="J15" s="84" t="s">
        <v>22</v>
      </c>
      <c r="K15" s="84" t="s">
        <v>21</v>
      </c>
      <c r="L15" s="84" t="s">
        <v>20</v>
      </c>
      <c r="M15" s="84" t="s">
        <v>23</v>
      </c>
      <c r="N15" s="84" t="s">
        <v>18</v>
      </c>
      <c r="O15" s="84" t="s">
        <v>22</v>
      </c>
      <c r="P15" s="84" t="s">
        <v>21</v>
      </c>
      <c r="Q15" s="84" t="s">
        <v>20</v>
      </c>
      <c r="R15" s="84" t="s">
        <v>23</v>
      </c>
      <c r="S15" s="84" t="s">
        <v>18</v>
      </c>
      <c r="T15" s="84" t="s">
        <v>22</v>
      </c>
      <c r="U15" s="84" t="s">
        <v>21</v>
      </c>
      <c r="V15" s="84" t="s">
        <v>20</v>
      </c>
      <c r="W15" s="84" t="s">
        <v>23</v>
      </c>
      <c r="X15" s="84" t="s">
        <v>18</v>
      </c>
      <c r="Y15" s="84" t="s">
        <v>22</v>
      </c>
      <c r="Z15" s="84" t="s">
        <v>21</v>
      </c>
      <c r="AC15" s="84" t="s">
        <v>169</v>
      </c>
    </row>
    <row r="16" spans="1:58" x14ac:dyDescent="0.2">
      <c r="A16" s="1" t="s">
        <v>1</v>
      </c>
      <c r="B16" s="48">
        <v>119400000</v>
      </c>
      <c r="C16" s="49">
        <v>125370000</v>
      </c>
      <c r="D16" s="49">
        <v>143280000</v>
      </c>
      <c r="E16" s="49">
        <v>83580000</v>
      </c>
      <c r="F16" s="50">
        <v>125370000</v>
      </c>
      <c r="G16" s="48">
        <v>101200000</v>
      </c>
      <c r="H16" s="49">
        <v>106260000</v>
      </c>
      <c r="I16" s="49">
        <v>121440000</v>
      </c>
      <c r="J16" s="49">
        <v>70840000</v>
      </c>
      <c r="K16" s="50">
        <v>106260000</v>
      </c>
      <c r="L16" s="48">
        <v>100000000</v>
      </c>
      <c r="M16" s="49">
        <v>105000000</v>
      </c>
      <c r="N16" s="49">
        <v>120000000</v>
      </c>
      <c r="O16" s="49">
        <v>70000000</v>
      </c>
      <c r="P16" s="50">
        <v>105000000</v>
      </c>
      <c r="Q16" s="48">
        <v>94400000</v>
      </c>
      <c r="R16" s="49">
        <v>99120000</v>
      </c>
      <c r="S16" s="49">
        <v>113280000</v>
      </c>
      <c r="T16" s="49">
        <v>66080000</v>
      </c>
      <c r="U16" s="50">
        <v>99120000</v>
      </c>
      <c r="V16" s="48">
        <v>118400000</v>
      </c>
      <c r="W16" s="49">
        <v>124320000</v>
      </c>
      <c r="X16" s="49">
        <v>142080000</v>
      </c>
      <c r="Y16" s="49">
        <v>82880000</v>
      </c>
      <c r="Z16" s="50">
        <v>124320000</v>
      </c>
      <c r="AC16" t="s">
        <v>196</v>
      </c>
    </row>
    <row r="17" spans="1:26" x14ac:dyDescent="0.2">
      <c r="A17" s="1" t="s">
        <v>2</v>
      </c>
      <c r="B17" s="54">
        <v>100000000</v>
      </c>
      <c r="C17" s="55">
        <v>105000000</v>
      </c>
      <c r="D17" s="55">
        <v>120000000</v>
      </c>
      <c r="E17" s="55">
        <v>70000000</v>
      </c>
      <c r="F17" s="56">
        <v>105000000</v>
      </c>
      <c r="G17" s="54">
        <v>80000000</v>
      </c>
      <c r="H17" s="55">
        <v>84000000</v>
      </c>
      <c r="I17" s="55">
        <v>96000000</v>
      </c>
      <c r="J17" s="55">
        <v>56000000</v>
      </c>
      <c r="K17" s="56">
        <v>84000000</v>
      </c>
      <c r="L17" s="62">
        <v>59000000</v>
      </c>
      <c r="M17" s="55">
        <v>61950000</v>
      </c>
      <c r="N17" s="55">
        <v>70800000</v>
      </c>
      <c r="O17" s="55">
        <v>41300000</v>
      </c>
      <c r="P17" s="56">
        <v>61950000</v>
      </c>
      <c r="Q17" s="54">
        <v>72800000</v>
      </c>
      <c r="R17" s="55">
        <v>76440000</v>
      </c>
      <c r="S17" s="55">
        <v>87360000</v>
      </c>
      <c r="T17" s="55">
        <v>50960000</v>
      </c>
      <c r="U17" s="56">
        <v>76440000</v>
      </c>
      <c r="V17" s="54">
        <v>100400000</v>
      </c>
      <c r="W17" s="55">
        <v>105420000</v>
      </c>
      <c r="X17" s="55">
        <v>120480000</v>
      </c>
      <c r="Y17" s="55">
        <v>70280000</v>
      </c>
      <c r="Z17" s="56">
        <v>105420000</v>
      </c>
    </row>
    <row r="18" spans="1:26" x14ac:dyDescent="0.2">
      <c r="A18" s="1" t="s">
        <v>3</v>
      </c>
      <c r="B18" s="54">
        <v>52400000</v>
      </c>
      <c r="C18" s="55">
        <v>55020000</v>
      </c>
      <c r="D18" s="55">
        <v>62880000</v>
      </c>
      <c r="E18" s="55">
        <v>36680000</v>
      </c>
      <c r="F18" s="56">
        <v>55020000</v>
      </c>
      <c r="G18" s="54">
        <v>29200000</v>
      </c>
      <c r="H18" s="55">
        <v>30660000</v>
      </c>
      <c r="I18" s="55">
        <v>35040000</v>
      </c>
      <c r="J18" s="55">
        <v>20440000</v>
      </c>
      <c r="K18" s="56">
        <v>30660000</v>
      </c>
      <c r="L18" s="54">
        <v>39600000</v>
      </c>
      <c r="M18" s="57">
        <v>41580000</v>
      </c>
      <c r="N18" s="55">
        <v>47520000</v>
      </c>
      <c r="O18" s="55">
        <v>27720000</v>
      </c>
      <c r="P18" s="56">
        <v>41580000</v>
      </c>
      <c r="Q18" s="54">
        <v>39800000</v>
      </c>
      <c r="R18" s="55">
        <v>41790000</v>
      </c>
      <c r="S18" s="55">
        <v>47760000</v>
      </c>
      <c r="T18" s="55">
        <v>27860000</v>
      </c>
      <c r="U18" s="56">
        <v>41790000</v>
      </c>
      <c r="V18" s="54">
        <v>59200000</v>
      </c>
      <c r="W18" s="55">
        <v>62160000</v>
      </c>
      <c r="X18" s="55">
        <v>71040000</v>
      </c>
      <c r="Y18" s="55">
        <v>41440000</v>
      </c>
      <c r="Z18" s="56">
        <v>62160000</v>
      </c>
    </row>
    <row r="19" spans="1:26" x14ac:dyDescent="0.2">
      <c r="A19" s="1" t="s">
        <v>4</v>
      </c>
      <c r="B19" s="58" t="s">
        <v>102</v>
      </c>
      <c r="C19" s="59" t="s">
        <v>102</v>
      </c>
      <c r="D19" s="59" t="s">
        <v>102</v>
      </c>
      <c r="E19" s="59" t="s">
        <v>102</v>
      </c>
      <c r="F19" s="60" t="s">
        <v>102</v>
      </c>
      <c r="G19" s="58" t="s">
        <v>102</v>
      </c>
      <c r="H19" s="59" t="s">
        <v>102</v>
      </c>
      <c r="I19" s="59" t="s">
        <v>102</v>
      </c>
      <c r="J19" s="59" t="s">
        <v>102</v>
      </c>
      <c r="K19" s="60" t="s">
        <v>102</v>
      </c>
      <c r="L19" s="58" t="s">
        <v>102</v>
      </c>
      <c r="M19" s="59" t="s">
        <v>102</v>
      </c>
      <c r="N19" s="59" t="s">
        <v>102</v>
      </c>
      <c r="O19" s="59" t="s">
        <v>102</v>
      </c>
      <c r="P19" s="60" t="s">
        <v>102</v>
      </c>
      <c r="Q19" s="58" t="s">
        <v>102</v>
      </c>
      <c r="R19" s="59" t="s">
        <v>102</v>
      </c>
      <c r="S19" s="59" t="s">
        <v>102</v>
      </c>
      <c r="T19" s="59" t="s">
        <v>102</v>
      </c>
      <c r="U19" s="60" t="s">
        <v>102</v>
      </c>
      <c r="V19" s="58" t="s">
        <v>102</v>
      </c>
      <c r="W19" s="59" t="s">
        <v>102</v>
      </c>
      <c r="X19" s="59" t="s">
        <v>102</v>
      </c>
      <c r="Y19" s="59" t="s">
        <v>102</v>
      </c>
      <c r="Z19" s="60" t="s">
        <v>102</v>
      </c>
    </row>
    <row r="20" spans="1:26" x14ac:dyDescent="0.2">
      <c r="A20" s="1" t="s">
        <v>5</v>
      </c>
      <c r="B20" s="54">
        <v>21600000</v>
      </c>
      <c r="C20" s="55">
        <v>22680000</v>
      </c>
      <c r="D20" s="55">
        <v>25920000</v>
      </c>
      <c r="E20" s="55">
        <v>15120000</v>
      </c>
      <c r="F20" s="56">
        <v>22930000</v>
      </c>
      <c r="G20" s="54">
        <v>15800000</v>
      </c>
      <c r="H20" s="55">
        <v>16590000</v>
      </c>
      <c r="I20" s="55">
        <v>18960000</v>
      </c>
      <c r="J20" s="55">
        <v>11060000</v>
      </c>
      <c r="K20" s="56">
        <v>16340000</v>
      </c>
      <c r="L20" s="54">
        <v>21600000</v>
      </c>
      <c r="M20" s="55">
        <v>22680000</v>
      </c>
      <c r="N20" s="55">
        <v>25920000</v>
      </c>
      <c r="O20" s="55">
        <v>15120000</v>
      </c>
      <c r="P20" s="56">
        <v>22680000</v>
      </c>
      <c r="Q20" s="54">
        <v>24400000</v>
      </c>
      <c r="R20" s="57">
        <v>25620000</v>
      </c>
      <c r="S20" s="55">
        <v>29280000</v>
      </c>
      <c r="T20" s="55">
        <v>17080000</v>
      </c>
      <c r="U20" s="56">
        <v>25620000</v>
      </c>
      <c r="V20" s="54">
        <v>33000000</v>
      </c>
      <c r="W20" s="55">
        <v>34650000</v>
      </c>
      <c r="X20" s="55">
        <v>39600000</v>
      </c>
      <c r="Y20" s="55">
        <v>23100000</v>
      </c>
      <c r="Z20" s="56">
        <v>34650000</v>
      </c>
    </row>
    <row r="21" spans="1:26" x14ac:dyDescent="0.2">
      <c r="A21" s="1" t="s">
        <v>6</v>
      </c>
      <c r="B21" s="58" t="s">
        <v>102</v>
      </c>
      <c r="C21" s="59" t="s">
        <v>102</v>
      </c>
      <c r="D21" s="59" t="s">
        <v>102</v>
      </c>
      <c r="E21" s="59" t="s">
        <v>102</v>
      </c>
      <c r="F21" s="60" t="s">
        <v>102</v>
      </c>
      <c r="G21" s="58" t="s">
        <v>102</v>
      </c>
      <c r="H21" s="59" t="s">
        <v>102</v>
      </c>
      <c r="I21" s="59" t="s">
        <v>102</v>
      </c>
      <c r="J21" s="59" t="s">
        <v>102</v>
      </c>
      <c r="K21" s="60" t="s">
        <v>102</v>
      </c>
      <c r="L21" s="58" t="s">
        <v>102</v>
      </c>
      <c r="M21" s="59" t="s">
        <v>102</v>
      </c>
      <c r="N21" s="59" t="s">
        <v>102</v>
      </c>
      <c r="O21" s="59" t="s">
        <v>102</v>
      </c>
      <c r="P21" s="60" t="s">
        <v>102</v>
      </c>
      <c r="Q21" s="58" t="s">
        <v>102</v>
      </c>
      <c r="R21" s="59" t="s">
        <v>102</v>
      </c>
      <c r="S21" s="59" t="s">
        <v>102</v>
      </c>
      <c r="T21" s="59" t="s">
        <v>102</v>
      </c>
      <c r="U21" s="60" t="s">
        <v>102</v>
      </c>
      <c r="V21" s="58" t="s">
        <v>102</v>
      </c>
      <c r="W21" s="59" t="s">
        <v>102</v>
      </c>
      <c r="X21" s="59" t="s">
        <v>102</v>
      </c>
      <c r="Y21" s="59" t="s">
        <v>102</v>
      </c>
      <c r="Z21" s="60" t="s">
        <v>102</v>
      </c>
    </row>
    <row r="22" spans="1:26" x14ac:dyDescent="0.2">
      <c r="A22" s="1" t="s">
        <v>7</v>
      </c>
      <c r="B22" s="58" t="s">
        <v>102</v>
      </c>
      <c r="C22" s="59" t="s">
        <v>102</v>
      </c>
      <c r="D22" s="59" t="s">
        <v>102</v>
      </c>
      <c r="E22" s="59" t="s">
        <v>102</v>
      </c>
      <c r="F22" s="60" t="s">
        <v>102</v>
      </c>
      <c r="G22" s="58" t="s">
        <v>102</v>
      </c>
      <c r="H22" s="59" t="s">
        <v>102</v>
      </c>
      <c r="I22" s="59" t="s">
        <v>102</v>
      </c>
      <c r="J22" s="59" t="s">
        <v>102</v>
      </c>
      <c r="K22" s="60" t="s">
        <v>102</v>
      </c>
      <c r="L22" s="58" t="s">
        <v>102</v>
      </c>
      <c r="M22" s="59" t="s">
        <v>102</v>
      </c>
      <c r="N22" s="59" t="s">
        <v>102</v>
      </c>
      <c r="O22" s="59" t="s">
        <v>102</v>
      </c>
      <c r="P22" s="60" t="s">
        <v>102</v>
      </c>
      <c r="Q22" s="58" t="s">
        <v>102</v>
      </c>
      <c r="R22" s="59" t="s">
        <v>102</v>
      </c>
      <c r="S22" s="59" t="s">
        <v>102</v>
      </c>
      <c r="T22" s="59" t="s">
        <v>102</v>
      </c>
      <c r="U22" s="60" t="s">
        <v>102</v>
      </c>
      <c r="V22" s="58" t="s">
        <v>102</v>
      </c>
      <c r="W22" s="59" t="s">
        <v>102</v>
      </c>
      <c r="X22" s="59" t="s">
        <v>102</v>
      </c>
      <c r="Y22" s="59" t="s">
        <v>102</v>
      </c>
      <c r="Z22" s="60" t="s">
        <v>102</v>
      </c>
    </row>
    <row r="23" spans="1:26" ht="16" thickBot="1" x14ac:dyDescent="0.25">
      <c r="A23" s="1" t="s">
        <v>8</v>
      </c>
      <c r="B23" s="68" t="s">
        <v>101</v>
      </c>
      <c r="C23" s="67" t="s">
        <v>101</v>
      </c>
      <c r="D23" s="67" t="s">
        <v>101</v>
      </c>
      <c r="E23" s="67" t="s">
        <v>101</v>
      </c>
      <c r="F23" s="69" t="s">
        <v>101</v>
      </c>
      <c r="G23" s="64">
        <v>11400000</v>
      </c>
      <c r="H23" s="70">
        <v>11970000</v>
      </c>
      <c r="I23" s="65">
        <v>13680000</v>
      </c>
      <c r="J23" s="65">
        <v>7980000</v>
      </c>
      <c r="K23" s="66">
        <v>11970000</v>
      </c>
      <c r="L23" s="68" t="s">
        <v>101</v>
      </c>
      <c r="M23" s="67" t="s">
        <v>101</v>
      </c>
      <c r="N23" s="67" t="s">
        <v>101</v>
      </c>
      <c r="O23" s="67" t="s">
        <v>101</v>
      </c>
      <c r="P23" s="69" t="s">
        <v>101</v>
      </c>
      <c r="Q23" s="64">
        <v>19600000</v>
      </c>
      <c r="R23" s="65">
        <v>20580000</v>
      </c>
      <c r="S23" s="65">
        <v>23520000</v>
      </c>
      <c r="T23" s="65">
        <v>13720000</v>
      </c>
      <c r="U23" s="66">
        <v>20580000</v>
      </c>
      <c r="V23" s="64">
        <v>23800000</v>
      </c>
      <c r="W23" s="65">
        <v>24990000</v>
      </c>
      <c r="X23" s="65">
        <v>28560000</v>
      </c>
      <c r="Y23" s="65">
        <v>16660000</v>
      </c>
      <c r="Z23" s="71">
        <v>24990000</v>
      </c>
    </row>
    <row r="26" spans="1:26" x14ac:dyDescent="0.2">
      <c r="B26" s="7">
        <v>2012</v>
      </c>
      <c r="G26" s="7">
        <v>2013</v>
      </c>
      <c r="L26" s="7">
        <v>2014</v>
      </c>
      <c r="Q26" s="7">
        <v>2015</v>
      </c>
      <c r="V26" s="7">
        <v>2016</v>
      </c>
    </row>
    <row r="27" spans="1:26" s="84" customFormat="1" ht="16" thickBot="1" x14ac:dyDescent="0.25">
      <c r="B27" s="84" t="s">
        <v>20</v>
      </c>
      <c r="C27" s="84" t="s">
        <v>23</v>
      </c>
      <c r="D27" s="84" t="s">
        <v>18</v>
      </c>
      <c r="E27" s="84" t="s">
        <v>22</v>
      </c>
      <c r="F27" s="84" t="s">
        <v>21</v>
      </c>
      <c r="G27" s="84" t="s">
        <v>20</v>
      </c>
      <c r="H27" s="84" t="s">
        <v>23</v>
      </c>
      <c r="I27" s="84" t="s">
        <v>18</v>
      </c>
      <c r="J27" s="84" t="s">
        <v>22</v>
      </c>
      <c r="K27" s="84" t="s">
        <v>21</v>
      </c>
      <c r="L27" s="84" t="s">
        <v>20</v>
      </c>
      <c r="M27" s="84" t="s">
        <v>23</v>
      </c>
      <c r="N27" s="84" t="s">
        <v>18</v>
      </c>
      <c r="O27" s="84" t="s">
        <v>22</v>
      </c>
      <c r="P27" s="84" t="s">
        <v>21</v>
      </c>
      <c r="Q27" s="84" t="s">
        <v>20</v>
      </c>
      <c r="R27" s="84" t="s">
        <v>23</v>
      </c>
      <c r="S27" s="84" t="s">
        <v>18</v>
      </c>
      <c r="T27" s="84" t="s">
        <v>22</v>
      </c>
      <c r="U27" s="84" t="s">
        <v>21</v>
      </c>
      <c r="V27" s="84" t="s">
        <v>20</v>
      </c>
      <c r="W27" s="84" t="s">
        <v>23</v>
      </c>
      <c r="X27" s="84" t="s">
        <v>18</v>
      </c>
      <c r="Y27" s="84" t="s">
        <v>22</v>
      </c>
      <c r="Z27" s="84" t="s">
        <v>21</v>
      </c>
    </row>
    <row r="28" spans="1:26" x14ac:dyDescent="0.2">
      <c r="A28" s="1" t="s">
        <v>1</v>
      </c>
      <c r="B28" s="48">
        <v>104200000</v>
      </c>
      <c r="C28" s="49">
        <v>109410000</v>
      </c>
      <c r="D28" s="49">
        <v>125040000</v>
      </c>
      <c r="E28" s="49">
        <v>72940000</v>
      </c>
      <c r="F28" s="50">
        <v>109410000</v>
      </c>
      <c r="G28" s="72">
        <v>60000000</v>
      </c>
      <c r="H28" s="73">
        <v>63000000</v>
      </c>
      <c r="I28" s="73">
        <v>72000000</v>
      </c>
      <c r="J28" s="73">
        <v>42000000</v>
      </c>
      <c r="K28" s="74">
        <v>63000000</v>
      </c>
      <c r="L28" s="210">
        <v>66000000</v>
      </c>
      <c r="M28" s="140">
        <v>69300000</v>
      </c>
      <c r="N28" s="140">
        <v>79200000</v>
      </c>
      <c r="O28" s="140">
        <v>46200000</v>
      </c>
      <c r="P28" s="141">
        <v>69300000</v>
      </c>
      <c r="Q28" s="93">
        <v>86200000</v>
      </c>
      <c r="R28" s="140">
        <v>90500000</v>
      </c>
      <c r="S28" s="140">
        <v>103400000</v>
      </c>
      <c r="T28" s="140">
        <v>60300000</v>
      </c>
      <c r="U28" s="141">
        <v>90500000</v>
      </c>
      <c r="V28" s="93">
        <v>116000000</v>
      </c>
      <c r="W28" s="140">
        <v>122000000</v>
      </c>
      <c r="X28" s="140">
        <v>139000000</v>
      </c>
      <c r="Y28" s="140">
        <v>81000000</v>
      </c>
      <c r="Z28" s="141">
        <v>122000000</v>
      </c>
    </row>
    <row r="29" spans="1:26" x14ac:dyDescent="0.2">
      <c r="A29" s="1" t="s">
        <v>2</v>
      </c>
      <c r="B29" s="54">
        <v>77400000</v>
      </c>
      <c r="C29" s="55">
        <v>81270000</v>
      </c>
      <c r="D29" s="55">
        <v>92880000</v>
      </c>
      <c r="E29" s="55">
        <v>54180000</v>
      </c>
      <c r="F29" s="56">
        <v>81270000</v>
      </c>
      <c r="G29" s="77">
        <v>60000000</v>
      </c>
      <c r="H29" s="75">
        <v>63000000</v>
      </c>
      <c r="I29" s="75">
        <v>72000000</v>
      </c>
      <c r="J29" s="75">
        <v>42000000</v>
      </c>
      <c r="K29" s="76">
        <v>63000000</v>
      </c>
      <c r="L29" s="94">
        <v>61800000</v>
      </c>
      <c r="M29" s="130">
        <v>64980000</v>
      </c>
      <c r="N29" s="130">
        <v>74220000</v>
      </c>
      <c r="O29" s="130">
        <v>43320000</v>
      </c>
      <c r="P29" s="183">
        <v>64900000</v>
      </c>
      <c r="Q29" s="182">
        <v>76000000</v>
      </c>
      <c r="R29" s="130">
        <v>79800000</v>
      </c>
      <c r="S29" s="130">
        <v>91200000</v>
      </c>
      <c r="T29" s="130">
        <v>53200000</v>
      </c>
      <c r="U29" s="183">
        <v>79800000</v>
      </c>
      <c r="V29" s="182">
        <v>101000000</v>
      </c>
      <c r="W29" s="130">
        <v>106000000</v>
      </c>
      <c r="X29" s="95">
        <v>121000000</v>
      </c>
      <c r="Y29" s="130">
        <v>71000000</v>
      </c>
      <c r="Z29" s="183">
        <v>106000000</v>
      </c>
    </row>
    <row r="30" spans="1:26" x14ac:dyDescent="0.2">
      <c r="A30" s="1" t="s">
        <v>3</v>
      </c>
      <c r="B30" s="54">
        <v>41800000</v>
      </c>
      <c r="C30" s="55">
        <v>43890000</v>
      </c>
      <c r="D30" s="55">
        <v>50160000</v>
      </c>
      <c r="E30" s="55">
        <v>29260000</v>
      </c>
      <c r="F30" s="56">
        <v>43890000</v>
      </c>
      <c r="G30" s="77">
        <v>32000000</v>
      </c>
      <c r="H30" s="75">
        <v>33600000</v>
      </c>
      <c r="I30" s="75">
        <v>38400000</v>
      </c>
      <c r="J30" s="75">
        <v>22400000</v>
      </c>
      <c r="K30" s="76">
        <v>33600000</v>
      </c>
      <c r="L30" s="182">
        <v>32000000</v>
      </c>
      <c r="M30" s="130">
        <v>33600000</v>
      </c>
      <c r="N30" s="130">
        <v>38400000</v>
      </c>
      <c r="O30" s="130">
        <v>22400000</v>
      </c>
      <c r="P30" s="183">
        <v>33600000</v>
      </c>
      <c r="Q30" s="182">
        <v>32800000</v>
      </c>
      <c r="R30" s="130">
        <v>34400000</v>
      </c>
      <c r="S30" s="130">
        <v>39400000</v>
      </c>
      <c r="T30" s="130">
        <v>22960000</v>
      </c>
      <c r="U30" s="183">
        <v>34440000</v>
      </c>
      <c r="V30" s="182">
        <v>49000000</v>
      </c>
      <c r="W30" s="130">
        <v>52000000</v>
      </c>
      <c r="X30" s="130">
        <v>59000000</v>
      </c>
      <c r="Y30" s="130">
        <v>34000000</v>
      </c>
      <c r="Z30" s="183">
        <v>52000000</v>
      </c>
    </row>
    <row r="31" spans="1:26" x14ac:dyDescent="0.2">
      <c r="A31" s="1" t="s">
        <v>4</v>
      </c>
      <c r="B31" s="58" t="s">
        <v>102</v>
      </c>
      <c r="C31" s="59" t="s">
        <v>102</v>
      </c>
      <c r="D31" s="59" t="s">
        <v>102</v>
      </c>
      <c r="E31" s="59" t="s">
        <v>102</v>
      </c>
      <c r="F31" s="60" t="s">
        <v>102</v>
      </c>
      <c r="G31" s="78" t="s">
        <v>104</v>
      </c>
      <c r="H31" s="79" t="s">
        <v>104</v>
      </c>
      <c r="I31" s="79" t="s">
        <v>104</v>
      </c>
      <c r="J31" s="79" t="s">
        <v>104</v>
      </c>
      <c r="K31" s="80" t="s">
        <v>104</v>
      </c>
      <c r="L31" s="45" t="s">
        <v>104</v>
      </c>
      <c r="M31" s="46" t="s">
        <v>104</v>
      </c>
      <c r="N31" s="46" t="s">
        <v>104</v>
      </c>
      <c r="O31" s="46" t="s">
        <v>104</v>
      </c>
      <c r="P31" s="47" t="s">
        <v>104</v>
      </c>
      <c r="Q31" s="45"/>
      <c r="R31" s="46"/>
      <c r="S31" s="46"/>
      <c r="T31" s="46"/>
      <c r="U31" s="47"/>
      <c r="V31" s="45"/>
      <c r="W31" s="46"/>
      <c r="X31" s="46"/>
      <c r="Y31" s="46"/>
      <c r="Z31" s="47"/>
    </row>
    <row r="32" spans="1:26" x14ac:dyDescent="0.2">
      <c r="A32" s="1" t="s">
        <v>5</v>
      </c>
      <c r="B32" s="54">
        <v>21200000</v>
      </c>
      <c r="C32" s="57">
        <v>22260000</v>
      </c>
      <c r="D32" s="181">
        <v>25440000</v>
      </c>
      <c r="E32" s="55">
        <v>14840000</v>
      </c>
      <c r="F32" s="56">
        <v>22260000</v>
      </c>
      <c r="G32" s="77">
        <v>16000000</v>
      </c>
      <c r="H32" s="75">
        <v>16800000</v>
      </c>
      <c r="I32" s="75">
        <v>19200000</v>
      </c>
      <c r="J32" s="75">
        <v>11200000</v>
      </c>
      <c r="K32" s="76">
        <v>16800000</v>
      </c>
      <c r="L32" s="182">
        <v>19200000</v>
      </c>
      <c r="M32" s="130">
        <v>20160000</v>
      </c>
      <c r="N32" s="130">
        <v>23040000</v>
      </c>
      <c r="O32" s="130">
        <v>13440000</v>
      </c>
      <c r="P32" s="183">
        <v>20160000</v>
      </c>
      <c r="Q32" s="182">
        <v>22800000</v>
      </c>
      <c r="R32" s="130">
        <v>23940000</v>
      </c>
      <c r="S32" s="95">
        <v>27360000</v>
      </c>
      <c r="T32" s="130">
        <v>15960000</v>
      </c>
      <c r="U32" s="183">
        <v>23940000</v>
      </c>
      <c r="V32" s="182">
        <v>38000000</v>
      </c>
      <c r="W32" s="130">
        <v>40000000</v>
      </c>
      <c r="X32" s="130">
        <v>46000000</v>
      </c>
      <c r="Y32" s="130">
        <v>26000000</v>
      </c>
      <c r="Z32" s="183">
        <v>40000000</v>
      </c>
    </row>
    <row r="33" spans="1:26" x14ac:dyDescent="0.2">
      <c r="A33" s="1" t="s">
        <v>6</v>
      </c>
      <c r="B33" s="58" t="s">
        <v>102</v>
      </c>
      <c r="C33" s="59" t="s">
        <v>102</v>
      </c>
      <c r="D33" s="59" t="s">
        <v>102</v>
      </c>
      <c r="E33" s="59" t="s">
        <v>102</v>
      </c>
      <c r="F33" s="60" t="s">
        <v>102</v>
      </c>
      <c r="G33" s="78" t="s">
        <v>104</v>
      </c>
      <c r="H33" s="79" t="s">
        <v>104</v>
      </c>
      <c r="I33" s="79" t="s">
        <v>104</v>
      </c>
      <c r="J33" s="79" t="s">
        <v>104</v>
      </c>
      <c r="K33" s="80" t="s">
        <v>104</v>
      </c>
      <c r="L33" s="45" t="s">
        <v>104</v>
      </c>
      <c r="M33" s="46" t="s">
        <v>104</v>
      </c>
      <c r="N33" s="46" t="s">
        <v>104</v>
      </c>
      <c r="O33" s="46" t="s">
        <v>104</v>
      </c>
      <c r="P33" s="47" t="s">
        <v>104</v>
      </c>
      <c r="Q33" s="45" t="s">
        <v>104</v>
      </c>
      <c r="R33" s="46" t="s">
        <v>104</v>
      </c>
      <c r="S33" s="46" t="s">
        <v>104</v>
      </c>
      <c r="T33" s="46" t="s">
        <v>104</v>
      </c>
      <c r="U33" s="47" t="s">
        <v>104</v>
      </c>
      <c r="V33" s="45" t="s">
        <v>104</v>
      </c>
      <c r="W33" s="46" t="s">
        <v>104</v>
      </c>
      <c r="X33" s="46" t="s">
        <v>104</v>
      </c>
      <c r="Y33" s="46" t="s">
        <v>104</v>
      </c>
      <c r="Z33" s="47" t="s">
        <v>104</v>
      </c>
    </row>
    <row r="34" spans="1:26" x14ac:dyDescent="0.2">
      <c r="A34" s="1" t="s">
        <v>7</v>
      </c>
      <c r="B34" s="58" t="s">
        <v>102</v>
      </c>
      <c r="C34" s="59" t="s">
        <v>102</v>
      </c>
      <c r="D34" s="59" t="s">
        <v>102</v>
      </c>
      <c r="E34" s="59" t="s">
        <v>102</v>
      </c>
      <c r="F34" s="60" t="s">
        <v>102</v>
      </c>
      <c r="G34" s="78" t="s">
        <v>104</v>
      </c>
      <c r="H34" s="79" t="s">
        <v>104</v>
      </c>
      <c r="I34" s="79" t="s">
        <v>104</v>
      </c>
      <c r="J34" s="79" t="s">
        <v>104</v>
      </c>
      <c r="K34" s="80" t="s">
        <v>104</v>
      </c>
      <c r="L34" s="46" t="s">
        <v>104</v>
      </c>
      <c r="M34" s="46" t="s">
        <v>104</v>
      </c>
      <c r="N34" s="46" t="s">
        <v>104</v>
      </c>
      <c r="O34" s="46" t="s">
        <v>104</v>
      </c>
      <c r="P34" s="46" t="s">
        <v>104</v>
      </c>
      <c r="Q34" s="46" t="s">
        <v>104</v>
      </c>
      <c r="R34" s="46" t="s">
        <v>104</v>
      </c>
      <c r="S34" s="46" t="s">
        <v>104</v>
      </c>
      <c r="T34" s="46" t="s">
        <v>104</v>
      </c>
      <c r="U34" s="46" t="s">
        <v>104</v>
      </c>
      <c r="V34" s="46" t="s">
        <v>104</v>
      </c>
      <c r="W34" s="46" t="s">
        <v>104</v>
      </c>
      <c r="X34" s="46" t="s">
        <v>104</v>
      </c>
      <c r="Y34" s="46" t="s">
        <v>104</v>
      </c>
      <c r="Z34" s="46" t="s">
        <v>104</v>
      </c>
    </row>
    <row r="35" spans="1:26" ht="16" thickBot="1" x14ac:dyDescent="0.25">
      <c r="A35" s="1" t="s">
        <v>8</v>
      </c>
      <c r="B35" s="68" t="s">
        <v>101</v>
      </c>
      <c r="C35" s="67" t="s">
        <v>101</v>
      </c>
      <c r="D35" s="67" t="s">
        <v>101</v>
      </c>
      <c r="E35" s="67" t="s">
        <v>101</v>
      </c>
      <c r="F35" s="69" t="s">
        <v>101</v>
      </c>
      <c r="G35" s="81" t="s">
        <v>101</v>
      </c>
      <c r="H35" s="82" t="s">
        <v>101</v>
      </c>
      <c r="I35" s="82"/>
      <c r="J35" s="82" t="s">
        <v>101</v>
      </c>
      <c r="K35" s="83" t="s">
        <v>101</v>
      </c>
      <c r="L35" s="95">
        <v>5600000</v>
      </c>
      <c r="M35" s="130">
        <v>5800000</v>
      </c>
      <c r="N35" s="95">
        <v>6720000</v>
      </c>
      <c r="O35" s="95">
        <v>3920000</v>
      </c>
      <c r="P35" s="95">
        <v>5880000</v>
      </c>
      <c r="Q35" s="44" t="s">
        <v>104</v>
      </c>
      <c r="R35" s="44" t="s">
        <v>104</v>
      </c>
      <c r="S35" s="44" t="s">
        <v>104</v>
      </c>
      <c r="T35" s="44" t="s">
        <v>104</v>
      </c>
      <c r="U35" s="44" t="s">
        <v>104</v>
      </c>
      <c r="V35" s="182">
        <v>14200000</v>
      </c>
      <c r="W35" s="182">
        <v>14900000</v>
      </c>
      <c r="X35" s="182">
        <v>17040000</v>
      </c>
      <c r="Y35" s="182">
        <v>9940000</v>
      </c>
      <c r="Z35" s="94">
        <v>14910000</v>
      </c>
    </row>
    <row r="37" spans="1:26" x14ac:dyDescent="0.2">
      <c r="B37" s="7">
        <v>2017</v>
      </c>
      <c r="G37" s="7">
        <v>2018</v>
      </c>
      <c r="L37" s="7">
        <v>2019</v>
      </c>
      <c r="Q37" s="7">
        <v>2020</v>
      </c>
      <c r="V37" s="7">
        <v>2021</v>
      </c>
    </row>
    <row r="38" spans="1:26" s="84" customFormat="1" ht="16" thickBot="1" x14ac:dyDescent="0.25">
      <c r="B38" s="84" t="s">
        <v>20</v>
      </c>
      <c r="C38" s="84" t="s">
        <v>23</v>
      </c>
      <c r="D38" s="84" t="s">
        <v>18</v>
      </c>
      <c r="E38" s="84" t="s">
        <v>22</v>
      </c>
      <c r="F38" s="84" t="s">
        <v>21</v>
      </c>
      <c r="G38" s="84" t="s">
        <v>20</v>
      </c>
      <c r="H38" s="84" t="s">
        <v>23</v>
      </c>
      <c r="I38" s="84" t="s">
        <v>18</v>
      </c>
      <c r="J38" s="84" t="s">
        <v>22</v>
      </c>
      <c r="K38" s="84" t="s">
        <v>21</v>
      </c>
      <c r="L38" s="84" t="s">
        <v>20</v>
      </c>
      <c r="M38" s="84" t="s">
        <v>23</v>
      </c>
      <c r="N38" s="84" t="s">
        <v>18</v>
      </c>
      <c r="O38" s="84" t="s">
        <v>22</v>
      </c>
      <c r="P38" s="84" t="s">
        <v>21</v>
      </c>
      <c r="Q38" s="84" t="s">
        <v>20</v>
      </c>
      <c r="R38" s="84" t="s">
        <v>23</v>
      </c>
      <c r="S38" s="84" t="s">
        <v>18</v>
      </c>
      <c r="T38" s="84" t="s">
        <v>22</v>
      </c>
      <c r="U38" s="84" t="s">
        <v>21</v>
      </c>
      <c r="V38" s="84" t="s">
        <v>20</v>
      </c>
      <c r="W38" s="84" t="s">
        <v>23</v>
      </c>
      <c r="X38" s="84" t="s">
        <v>18</v>
      </c>
      <c r="Y38" s="84" t="s">
        <v>22</v>
      </c>
      <c r="Z38" s="84" t="s">
        <v>21</v>
      </c>
    </row>
    <row r="39" spans="1:26" x14ac:dyDescent="0.2">
      <c r="A39" s="1" t="s">
        <v>1</v>
      </c>
      <c r="B39" s="210">
        <v>81000000</v>
      </c>
      <c r="C39" s="140">
        <v>85000000</v>
      </c>
      <c r="D39" s="185">
        <v>97000000</v>
      </c>
      <c r="E39" s="140">
        <v>57000000</v>
      </c>
      <c r="F39" s="141">
        <v>85000000</v>
      </c>
      <c r="G39" s="210">
        <v>90000000</v>
      </c>
      <c r="H39" s="140">
        <v>95000000</v>
      </c>
      <c r="I39" s="140">
        <v>108000000</v>
      </c>
      <c r="J39" s="140">
        <v>63000000</v>
      </c>
      <c r="K39" s="141">
        <v>95000000</v>
      </c>
      <c r="L39" s="93">
        <v>71000000</v>
      </c>
      <c r="M39" s="140">
        <v>75000000</v>
      </c>
      <c r="N39" s="140">
        <v>85000000</v>
      </c>
      <c r="O39" s="185">
        <v>49000000</v>
      </c>
      <c r="P39" s="141">
        <v>75000000</v>
      </c>
      <c r="Q39" s="210">
        <v>49000000</v>
      </c>
      <c r="R39" s="140">
        <v>51000000</v>
      </c>
      <c r="S39" s="185">
        <v>58000000</v>
      </c>
      <c r="T39" s="140">
        <v>34000000</v>
      </c>
      <c r="U39" s="141">
        <v>51000000</v>
      </c>
      <c r="V39" s="210">
        <v>51000000</v>
      </c>
      <c r="W39" s="140">
        <v>54000000</v>
      </c>
      <c r="X39" s="140">
        <v>61000000</v>
      </c>
      <c r="Y39" s="140">
        <v>35000000</v>
      </c>
      <c r="Z39" s="211">
        <v>54000000</v>
      </c>
    </row>
    <row r="40" spans="1:26" x14ac:dyDescent="0.2">
      <c r="A40" s="1" t="s">
        <v>2</v>
      </c>
      <c r="B40" s="182">
        <v>72000000</v>
      </c>
      <c r="C40" s="95">
        <v>75000000</v>
      </c>
      <c r="D40" s="130">
        <v>86000000</v>
      </c>
      <c r="E40" s="130">
        <v>51000000</v>
      </c>
      <c r="F40" s="96">
        <v>75000000</v>
      </c>
      <c r="G40" s="182">
        <v>95000000</v>
      </c>
      <c r="H40" s="130">
        <v>100000000</v>
      </c>
      <c r="I40" s="95">
        <v>115000000</v>
      </c>
      <c r="J40" s="95">
        <v>67000000</v>
      </c>
      <c r="K40" s="96">
        <v>101000000</v>
      </c>
      <c r="L40" s="94">
        <v>84000000</v>
      </c>
      <c r="M40" s="130">
        <v>89000000</v>
      </c>
      <c r="N40" s="95">
        <v>100000000</v>
      </c>
      <c r="O40" s="95">
        <v>85000000</v>
      </c>
      <c r="P40" s="183">
        <v>88000000</v>
      </c>
      <c r="Q40" s="182">
        <v>65000000</v>
      </c>
      <c r="R40" s="95">
        <v>69000000</v>
      </c>
      <c r="S40" s="95">
        <v>79000000</v>
      </c>
      <c r="T40" s="130">
        <v>46000000</v>
      </c>
      <c r="U40" s="183">
        <v>88000000</v>
      </c>
      <c r="V40" s="182">
        <v>97000000</v>
      </c>
      <c r="W40" s="95">
        <v>102000000</v>
      </c>
      <c r="X40" s="130">
        <v>117000000</v>
      </c>
      <c r="Y40" s="95">
        <v>68000000</v>
      </c>
      <c r="Z40" s="183">
        <v>102000000</v>
      </c>
    </row>
    <row r="41" spans="1:26" x14ac:dyDescent="0.2">
      <c r="A41" s="1" t="s">
        <v>3</v>
      </c>
      <c r="B41" s="182">
        <v>30000000</v>
      </c>
      <c r="C41" s="95">
        <v>31000000</v>
      </c>
      <c r="D41" s="130">
        <v>35000000</v>
      </c>
      <c r="E41" s="95">
        <v>21000000</v>
      </c>
      <c r="F41" s="183">
        <v>32000000</v>
      </c>
      <c r="G41" s="182">
        <v>40600000</v>
      </c>
      <c r="H41" s="130">
        <v>42630000</v>
      </c>
      <c r="I41" s="95">
        <v>48000000</v>
      </c>
      <c r="J41" s="130">
        <v>28000000</v>
      </c>
      <c r="K41" s="96">
        <v>42600000</v>
      </c>
      <c r="L41" s="94">
        <v>40000000</v>
      </c>
      <c r="M41" s="95">
        <v>43000000</v>
      </c>
      <c r="N41" s="130">
        <v>48000000</v>
      </c>
      <c r="O41" s="130">
        <v>28000000</v>
      </c>
      <c r="P41" s="183">
        <v>42000000</v>
      </c>
      <c r="Q41" s="94">
        <v>19600000</v>
      </c>
      <c r="R41" s="95">
        <v>20500000</v>
      </c>
      <c r="S41" s="95">
        <v>23500000</v>
      </c>
      <c r="T41" s="95">
        <v>13700000</v>
      </c>
      <c r="U41" s="183">
        <v>20500000</v>
      </c>
      <c r="V41" s="94">
        <v>48000000</v>
      </c>
      <c r="W41" s="130">
        <v>50000000</v>
      </c>
      <c r="X41" s="95">
        <v>57000000</v>
      </c>
      <c r="Y41" s="95">
        <v>33000000</v>
      </c>
      <c r="Z41" s="96">
        <v>50000000</v>
      </c>
    </row>
    <row r="42" spans="1:26" x14ac:dyDescent="0.2">
      <c r="A42" s="1" t="s">
        <v>4</v>
      </c>
      <c r="B42" s="182">
        <v>25000000</v>
      </c>
      <c r="C42" s="130">
        <v>26000000</v>
      </c>
      <c r="D42" s="95">
        <v>28000000</v>
      </c>
      <c r="E42" s="130">
        <v>17000000</v>
      </c>
      <c r="F42" s="183">
        <v>26000000</v>
      </c>
      <c r="G42" s="182">
        <v>24000000</v>
      </c>
      <c r="H42" s="130">
        <v>25000000</v>
      </c>
      <c r="I42" s="130">
        <v>28000000</v>
      </c>
      <c r="J42" s="95">
        <v>16000000</v>
      </c>
      <c r="K42" s="96">
        <v>25000000</v>
      </c>
      <c r="L42" s="182">
        <v>29000000</v>
      </c>
      <c r="M42" s="130">
        <v>32000000</v>
      </c>
      <c r="N42" s="130">
        <v>35000000</v>
      </c>
      <c r="O42" s="230">
        <v>21000000</v>
      </c>
      <c r="P42" s="183">
        <v>31000000</v>
      </c>
      <c r="Q42" s="182">
        <v>40000000</v>
      </c>
      <c r="R42" s="130">
        <v>42000000</v>
      </c>
      <c r="S42" s="130">
        <v>48000000</v>
      </c>
      <c r="T42" s="130">
        <v>28000000</v>
      </c>
      <c r="U42" s="183">
        <v>42000000</v>
      </c>
      <c r="V42" s="94">
        <v>29000000</v>
      </c>
      <c r="W42" s="130">
        <v>31000000</v>
      </c>
      <c r="X42" s="130">
        <v>35000000</v>
      </c>
      <c r="Y42" s="95">
        <v>21000000</v>
      </c>
      <c r="Z42" s="96">
        <v>31000000</v>
      </c>
    </row>
    <row r="43" spans="1:26" x14ac:dyDescent="0.2">
      <c r="A43" s="1" t="s">
        <v>5</v>
      </c>
      <c r="B43" s="94">
        <v>22000000</v>
      </c>
      <c r="C43" s="130">
        <v>23000000</v>
      </c>
      <c r="D43" s="95">
        <v>26000000</v>
      </c>
      <c r="E43" s="95">
        <v>15000000</v>
      </c>
      <c r="F43" s="183">
        <v>23000000</v>
      </c>
      <c r="G43" s="94">
        <v>28000000</v>
      </c>
      <c r="H43" s="130">
        <v>29800000</v>
      </c>
      <c r="I43" s="130">
        <v>34000000</v>
      </c>
      <c r="J43" s="130">
        <v>20000000</v>
      </c>
      <c r="K43" s="183">
        <v>30000000</v>
      </c>
      <c r="L43" s="94">
        <v>34000000</v>
      </c>
      <c r="M43" s="130">
        <v>37000000</v>
      </c>
      <c r="N43" s="130">
        <v>40000000</v>
      </c>
      <c r="O43" s="95">
        <v>23000000</v>
      </c>
      <c r="P43" s="96">
        <v>36000000</v>
      </c>
      <c r="Q43" s="94">
        <v>38000000</v>
      </c>
      <c r="R43" s="130">
        <v>40700000</v>
      </c>
      <c r="S43" s="95">
        <v>46500000</v>
      </c>
      <c r="T43" s="130">
        <v>27000000</v>
      </c>
      <c r="U43" s="96">
        <v>40700000</v>
      </c>
      <c r="V43" s="182">
        <v>30000000</v>
      </c>
      <c r="W43" s="130">
        <v>31500000</v>
      </c>
      <c r="X43" s="130">
        <v>36000000</v>
      </c>
      <c r="Y43" s="130">
        <v>21000000</v>
      </c>
      <c r="Z43" s="183">
        <v>31500000</v>
      </c>
    </row>
    <row r="44" spans="1:26" x14ac:dyDescent="0.2">
      <c r="A44" s="1" t="s">
        <v>6</v>
      </c>
      <c r="B44" s="45" t="s">
        <v>104</v>
      </c>
      <c r="C44" s="46" t="s">
        <v>104</v>
      </c>
      <c r="D44" s="46" t="s">
        <v>104</v>
      </c>
      <c r="E44" s="46" t="s">
        <v>104</v>
      </c>
      <c r="F44" s="47" t="s">
        <v>104</v>
      </c>
      <c r="G44" s="45" t="s">
        <v>104</v>
      </c>
      <c r="H44" s="46" t="s">
        <v>104</v>
      </c>
      <c r="I44" s="46" t="s">
        <v>104</v>
      </c>
      <c r="J44" s="46" t="s">
        <v>104</v>
      </c>
      <c r="K44" s="47" t="s">
        <v>104</v>
      </c>
      <c r="L44" s="45" t="s">
        <v>104</v>
      </c>
      <c r="M44" s="46" t="s">
        <v>104</v>
      </c>
      <c r="N44" s="46" t="s">
        <v>104</v>
      </c>
      <c r="O44" s="46" t="s">
        <v>104</v>
      </c>
      <c r="P44" s="47" t="s">
        <v>104</v>
      </c>
      <c r="Q44" s="45" t="s">
        <v>104</v>
      </c>
      <c r="R44" s="46" t="s">
        <v>104</v>
      </c>
      <c r="S44" s="46" t="s">
        <v>104</v>
      </c>
      <c r="T44" s="46" t="s">
        <v>104</v>
      </c>
      <c r="U44" s="47" t="s">
        <v>104</v>
      </c>
      <c r="V44" s="45" t="s">
        <v>104</v>
      </c>
      <c r="W44" s="46" t="s">
        <v>104</v>
      </c>
      <c r="X44" s="46" t="s">
        <v>104</v>
      </c>
      <c r="Y44" s="46" t="s">
        <v>104</v>
      </c>
      <c r="Z44" s="47" t="s">
        <v>104</v>
      </c>
    </row>
    <row r="45" spans="1:26" x14ac:dyDescent="0.2">
      <c r="A45" s="1" t="s">
        <v>7</v>
      </c>
      <c r="B45" s="46" t="s">
        <v>104</v>
      </c>
      <c r="C45" s="46" t="s">
        <v>104</v>
      </c>
      <c r="D45" s="46" t="s">
        <v>104</v>
      </c>
      <c r="E45" s="46" t="s">
        <v>104</v>
      </c>
      <c r="F45" s="46" t="s">
        <v>104</v>
      </c>
      <c r="G45" s="46" t="s">
        <v>104</v>
      </c>
      <c r="H45" s="46" t="s">
        <v>104</v>
      </c>
      <c r="I45" s="46" t="s">
        <v>104</v>
      </c>
      <c r="J45" s="46" t="s">
        <v>104</v>
      </c>
      <c r="K45" s="46" t="s">
        <v>104</v>
      </c>
      <c r="L45" s="46" t="s">
        <v>104</v>
      </c>
      <c r="M45" s="46" t="s">
        <v>104</v>
      </c>
      <c r="N45" s="46" t="s">
        <v>104</v>
      </c>
      <c r="O45" s="46" t="s">
        <v>104</v>
      </c>
      <c r="P45" s="46" t="s">
        <v>104</v>
      </c>
      <c r="Q45" s="46" t="s">
        <v>104</v>
      </c>
      <c r="R45" s="46" t="s">
        <v>104</v>
      </c>
      <c r="S45" s="46" t="s">
        <v>104</v>
      </c>
      <c r="T45" s="46" t="s">
        <v>104</v>
      </c>
      <c r="U45" s="46" t="s">
        <v>104</v>
      </c>
      <c r="V45" s="46" t="s">
        <v>104</v>
      </c>
      <c r="W45" s="46" t="s">
        <v>104</v>
      </c>
      <c r="X45" s="46" t="s">
        <v>104</v>
      </c>
      <c r="Y45" s="46" t="s">
        <v>104</v>
      </c>
      <c r="Z45" s="46" t="s">
        <v>104</v>
      </c>
    </row>
    <row r="46" spans="1:26" x14ac:dyDescent="0.2">
      <c r="A46" s="1" t="s">
        <v>8</v>
      </c>
      <c r="B46" s="182">
        <v>18200000</v>
      </c>
      <c r="C46" s="182">
        <v>19100000</v>
      </c>
      <c r="D46" s="182">
        <v>21800000</v>
      </c>
      <c r="E46" s="94">
        <v>12740000</v>
      </c>
      <c r="F46" s="182">
        <v>19110000</v>
      </c>
      <c r="G46" s="44" t="s">
        <v>104</v>
      </c>
      <c r="H46" s="44" t="s">
        <v>104</v>
      </c>
      <c r="I46" s="44" t="s">
        <v>104</v>
      </c>
      <c r="J46" s="44" t="s">
        <v>104</v>
      </c>
      <c r="K46" s="44" t="s">
        <v>104</v>
      </c>
      <c r="L46" s="95">
        <v>8020000</v>
      </c>
      <c r="M46" s="130">
        <v>12590000</v>
      </c>
      <c r="N46" s="130">
        <v>9680000</v>
      </c>
      <c r="O46" s="130">
        <v>5530000</v>
      </c>
      <c r="P46" s="130">
        <v>8430000</v>
      </c>
      <c r="Q46" s="95">
        <v>22020000</v>
      </c>
      <c r="R46" s="130">
        <v>23100000</v>
      </c>
      <c r="S46" s="95">
        <v>26400000</v>
      </c>
      <c r="T46" s="130">
        <v>15400000</v>
      </c>
      <c r="U46" s="130">
        <v>23100000</v>
      </c>
      <c r="V46" s="95">
        <v>6000000</v>
      </c>
      <c r="W46" s="95">
        <v>6300000</v>
      </c>
      <c r="X46" s="95">
        <v>7200000</v>
      </c>
      <c r="Y46" s="95">
        <v>4200000</v>
      </c>
      <c r="Z46" s="95">
        <v>6300000</v>
      </c>
    </row>
    <row r="48" spans="1:26" x14ac:dyDescent="0.2">
      <c r="B48" s="7">
        <v>2022</v>
      </c>
      <c r="G48" s="7">
        <v>2023</v>
      </c>
    </row>
    <row r="49" spans="1:11" ht="16" thickBot="1" x14ac:dyDescent="0.25">
      <c r="A49" s="84"/>
      <c r="B49" s="84" t="s">
        <v>20</v>
      </c>
      <c r="C49" s="84" t="s">
        <v>23</v>
      </c>
      <c r="D49" s="84" t="s">
        <v>18</v>
      </c>
      <c r="E49" s="84" t="s">
        <v>22</v>
      </c>
      <c r="F49" s="84" t="s">
        <v>21</v>
      </c>
      <c r="G49" s="84" t="s">
        <v>20</v>
      </c>
      <c r="H49" s="84" t="s">
        <v>23</v>
      </c>
      <c r="I49" s="84" t="s">
        <v>18</v>
      </c>
      <c r="J49" s="84" t="s">
        <v>22</v>
      </c>
      <c r="K49" s="84" t="s">
        <v>21</v>
      </c>
    </row>
    <row r="50" spans="1:11" x14ac:dyDescent="0.2">
      <c r="A50" s="1" t="s">
        <v>1</v>
      </c>
      <c r="B50" s="254"/>
      <c r="C50" s="255"/>
      <c r="D50" s="255"/>
      <c r="E50" s="255"/>
      <c r="F50" s="256"/>
      <c r="G50" s="93">
        <v>28800000</v>
      </c>
      <c r="H50" s="185">
        <v>30000000</v>
      </c>
      <c r="I50" s="185">
        <v>34500000</v>
      </c>
      <c r="J50" s="185">
        <v>20000000</v>
      </c>
      <c r="K50" s="211">
        <v>30200000</v>
      </c>
    </row>
    <row r="51" spans="1:11" x14ac:dyDescent="0.2">
      <c r="A51" s="1" t="s">
        <v>2</v>
      </c>
      <c r="B51" s="94">
        <v>42000000</v>
      </c>
      <c r="C51" s="95">
        <v>44000000</v>
      </c>
      <c r="D51" s="95">
        <v>50600000</v>
      </c>
      <c r="E51" s="95">
        <v>29500000</v>
      </c>
      <c r="F51" s="250">
        <v>44300000</v>
      </c>
      <c r="G51" s="182">
        <v>18000000</v>
      </c>
      <c r="H51" s="130">
        <v>18900000</v>
      </c>
      <c r="I51" s="95">
        <v>21600000</v>
      </c>
      <c r="J51" s="95">
        <v>12600000</v>
      </c>
      <c r="K51" s="183">
        <v>18900000</v>
      </c>
    </row>
    <row r="52" spans="1:11" x14ac:dyDescent="0.2">
      <c r="A52" s="1" t="s">
        <v>3</v>
      </c>
      <c r="B52" s="94">
        <v>27000000</v>
      </c>
      <c r="C52" s="130">
        <v>28300000</v>
      </c>
      <c r="D52" s="95">
        <v>32000000</v>
      </c>
      <c r="E52" s="95">
        <v>19000000</v>
      </c>
      <c r="F52" s="251">
        <v>28000000</v>
      </c>
      <c r="G52" s="94">
        <v>9</v>
      </c>
      <c r="H52" s="130">
        <v>9400000</v>
      </c>
      <c r="I52" s="95">
        <v>10800000</v>
      </c>
      <c r="J52" s="95">
        <v>6300000</v>
      </c>
      <c r="K52" s="96">
        <v>9500000</v>
      </c>
    </row>
    <row r="53" spans="1:11" x14ac:dyDescent="0.2">
      <c r="A53" s="1" t="s">
        <v>4</v>
      </c>
      <c r="B53" s="182">
        <v>20000000</v>
      </c>
      <c r="C53" s="95">
        <v>21000000</v>
      </c>
      <c r="D53" s="95">
        <v>24000000</v>
      </c>
      <c r="E53" s="95">
        <v>14000000</v>
      </c>
      <c r="F53" s="250">
        <v>21000000</v>
      </c>
      <c r="G53" s="94">
        <v>18000000</v>
      </c>
      <c r="H53" s="95">
        <v>19000000</v>
      </c>
      <c r="I53" s="95">
        <v>24000000</v>
      </c>
      <c r="J53" s="95">
        <v>14000000</v>
      </c>
      <c r="K53" s="183">
        <v>21000000</v>
      </c>
    </row>
    <row r="54" spans="1:11" x14ac:dyDescent="0.2">
      <c r="A54" s="1" t="s">
        <v>5</v>
      </c>
      <c r="B54" s="94">
        <v>26200000</v>
      </c>
      <c r="C54" s="130">
        <v>27500000</v>
      </c>
      <c r="D54" s="130">
        <v>31400000</v>
      </c>
      <c r="E54" s="95">
        <v>18300000</v>
      </c>
      <c r="F54" s="250">
        <v>27500000</v>
      </c>
      <c r="G54" s="94">
        <v>11000000</v>
      </c>
      <c r="H54" s="95">
        <v>11500000</v>
      </c>
      <c r="I54" s="95">
        <v>13200000</v>
      </c>
      <c r="J54" s="95">
        <v>7700000</v>
      </c>
      <c r="K54" s="183">
        <v>11500000</v>
      </c>
    </row>
    <row r="55" spans="1:11" x14ac:dyDescent="0.2">
      <c r="A55" s="1" t="s">
        <v>6</v>
      </c>
      <c r="B55" s="94">
        <v>4000000</v>
      </c>
      <c r="C55" s="95">
        <v>4200000</v>
      </c>
      <c r="D55" s="95">
        <v>4800000</v>
      </c>
      <c r="E55" s="95">
        <v>2800000</v>
      </c>
      <c r="F55" s="251">
        <v>4200000</v>
      </c>
      <c r="G55" s="94">
        <v>12000000</v>
      </c>
      <c r="H55" s="95">
        <v>12600000</v>
      </c>
      <c r="I55" s="95">
        <v>14400000</v>
      </c>
      <c r="J55" s="95">
        <v>8400000</v>
      </c>
      <c r="K55" s="96">
        <v>12600000</v>
      </c>
    </row>
    <row r="56" spans="1:11" x14ac:dyDescent="0.2">
      <c r="A56" s="1" t="s">
        <v>7</v>
      </c>
      <c r="B56" s="45" t="s">
        <v>104</v>
      </c>
      <c r="C56" s="46" t="s">
        <v>104</v>
      </c>
      <c r="D56" s="46" t="s">
        <v>104</v>
      </c>
      <c r="E56" s="46" t="s">
        <v>104</v>
      </c>
      <c r="F56" s="257" t="s">
        <v>104</v>
      </c>
      <c r="G56" s="45" t="s">
        <v>104</v>
      </c>
      <c r="H56" s="46" t="s">
        <v>104</v>
      </c>
      <c r="I56" s="46" t="s">
        <v>104</v>
      </c>
      <c r="J56" s="46" t="s">
        <v>104</v>
      </c>
      <c r="K56" s="47" t="s">
        <v>104</v>
      </c>
    </row>
    <row r="57" spans="1:11" ht="16" thickBot="1" x14ac:dyDescent="0.25">
      <c r="A57" s="1" t="s">
        <v>8</v>
      </c>
      <c r="B57" s="258"/>
      <c r="C57" s="259"/>
      <c r="D57" s="259"/>
      <c r="E57" s="259"/>
      <c r="F57" s="260"/>
      <c r="G57" s="252">
        <v>11000000</v>
      </c>
      <c r="H57" s="253">
        <v>11500000</v>
      </c>
      <c r="I57" s="253">
        <v>13200000</v>
      </c>
      <c r="J57" s="253">
        <v>7700000</v>
      </c>
      <c r="K57" s="264">
        <v>11500000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Q235"/>
  <sheetViews>
    <sheetView tabSelected="1" topLeftCell="A20" zoomScale="121" zoomScaleNormal="121" workbookViewId="0">
      <pane xSplit="1" topLeftCell="L1" activePane="topRight" state="frozen"/>
      <selection pane="topRight" activeCell="Q32" sqref="Q32"/>
    </sheetView>
  </sheetViews>
  <sheetFormatPr baseColWidth="10" defaultRowHeight="15" x14ac:dyDescent="0.2"/>
  <cols>
    <col min="1" max="1" width="11.5" style="105"/>
    <col min="2" max="2" width="8.5" customWidth="1"/>
    <col min="3" max="5" width="8.83203125" bestFit="1" customWidth="1"/>
    <col min="6" max="6" width="10.83203125" customWidth="1"/>
    <col min="7" max="7" width="8.83203125" bestFit="1" customWidth="1"/>
    <col min="8" max="8" width="9.1640625" customWidth="1"/>
    <col min="9" max="13" width="8.83203125" bestFit="1" customWidth="1"/>
    <col min="14" max="14" width="8.6640625" customWidth="1"/>
    <col min="15" max="15" width="8.83203125" customWidth="1"/>
    <col min="16" max="16" width="10.33203125" bestFit="1" customWidth="1"/>
    <col min="19" max="19" width="11.83203125" bestFit="1" customWidth="1"/>
    <col min="30" max="30" width="10.83203125" style="105"/>
    <col min="33" max="33" width="6.1640625" customWidth="1"/>
    <col min="34" max="34" width="8.83203125" bestFit="1" customWidth="1"/>
  </cols>
  <sheetData>
    <row r="1" spans="1:36" x14ac:dyDescent="0.2">
      <c r="A1" s="3"/>
      <c r="B1" s="1" t="s">
        <v>40</v>
      </c>
      <c r="C1" s="1" t="s">
        <v>40</v>
      </c>
      <c r="D1" s="1" t="s">
        <v>40</v>
      </c>
      <c r="E1" s="1" t="s">
        <v>40</v>
      </c>
      <c r="F1" s="1" t="s">
        <v>40</v>
      </c>
      <c r="G1" s="1" t="s">
        <v>40</v>
      </c>
      <c r="H1" s="1" t="s">
        <v>40</v>
      </c>
      <c r="I1" s="1" t="s">
        <v>40</v>
      </c>
      <c r="J1" s="1" t="s">
        <v>40</v>
      </c>
      <c r="K1" s="1" t="s">
        <v>40</v>
      </c>
      <c r="L1" s="1" t="s">
        <v>40</v>
      </c>
      <c r="M1" s="1" t="s">
        <v>40</v>
      </c>
      <c r="N1" s="1" t="s">
        <v>40</v>
      </c>
      <c r="O1" s="1" t="s">
        <v>40</v>
      </c>
      <c r="P1" s="1" t="s">
        <v>40</v>
      </c>
      <c r="Q1" s="1" t="s">
        <v>40</v>
      </c>
      <c r="R1" s="1" t="s">
        <v>40</v>
      </c>
      <c r="S1" s="1" t="s">
        <v>40</v>
      </c>
      <c r="T1" s="1" t="s">
        <v>40</v>
      </c>
      <c r="U1" s="1" t="s">
        <v>40</v>
      </c>
      <c r="V1" s="1" t="s">
        <v>40</v>
      </c>
      <c r="W1" s="1" t="s">
        <v>40</v>
      </c>
      <c r="X1" s="1" t="s">
        <v>40</v>
      </c>
      <c r="Y1" s="1" t="s">
        <v>40</v>
      </c>
      <c r="Z1" s="1" t="s">
        <v>40</v>
      </c>
      <c r="AA1" s="1" t="s">
        <v>40</v>
      </c>
      <c r="AB1" s="1" t="s">
        <v>40</v>
      </c>
      <c r="AC1" s="1"/>
      <c r="AD1"/>
      <c r="AE1" s="105"/>
    </row>
    <row r="2" spans="1:36" ht="16" thickBot="1" x14ac:dyDescent="0.25">
      <c r="A2" s="3"/>
      <c r="B2" s="4">
        <v>1999</v>
      </c>
      <c r="C2" s="4">
        <v>2000</v>
      </c>
      <c r="D2" s="4">
        <v>2001</v>
      </c>
      <c r="E2" s="4">
        <v>2002</v>
      </c>
      <c r="F2" s="4">
        <v>2003</v>
      </c>
      <c r="G2" s="4">
        <v>2004</v>
      </c>
      <c r="H2" s="4">
        <v>2005</v>
      </c>
      <c r="I2" s="4">
        <v>2006</v>
      </c>
      <c r="J2" s="4">
        <v>2007</v>
      </c>
      <c r="K2" s="4">
        <v>2008</v>
      </c>
      <c r="L2" s="4">
        <v>2009</v>
      </c>
      <c r="M2" s="4">
        <v>2010</v>
      </c>
      <c r="N2" s="4">
        <v>2011</v>
      </c>
      <c r="O2" s="4">
        <v>2012</v>
      </c>
      <c r="P2" s="4">
        <v>2013</v>
      </c>
      <c r="Q2" s="4">
        <v>2014</v>
      </c>
      <c r="R2" s="4">
        <v>2015</v>
      </c>
      <c r="S2" s="4">
        <v>2016</v>
      </c>
      <c r="T2" s="4">
        <v>2017</v>
      </c>
      <c r="U2" s="4">
        <v>2018</v>
      </c>
      <c r="V2" s="4">
        <v>2019</v>
      </c>
      <c r="W2" s="4">
        <v>2020</v>
      </c>
      <c r="X2" s="4">
        <v>2021</v>
      </c>
      <c r="Y2" s="4">
        <v>2022</v>
      </c>
      <c r="Z2" s="4">
        <v>2023</v>
      </c>
      <c r="AA2" s="4">
        <v>2024</v>
      </c>
      <c r="AB2" s="4">
        <v>2025</v>
      </c>
      <c r="AE2" t="s">
        <v>73</v>
      </c>
      <c r="AF2" s="4" t="s">
        <v>74</v>
      </c>
      <c r="AG2" s="4" t="s">
        <v>77</v>
      </c>
      <c r="AH2" t="s">
        <v>78</v>
      </c>
      <c r="AJ2" t="s">
        <v>208</v>
      </c>
    </row>
    <row r="3" spans="1:36" x14ac:dyDescent="0.2">
      <c r="A3" s="104" t="s">
        <v>1</v>
      </c>
      <c r="B3" s="111">
        <v>235200000</v>
      </c>
      <c r="C3" s="112" t="s">
        <v>102</v>
      </c>
      <c r="D3" s="98">
        <v>99800000</v>
      </c>
      <c r="E3" s="44" t="s">
        <v>102</v>
      </c>
      <c r="F3" s="43">
        <v>10030404</v>
      </c>
      <c r="G3" s="42">
        <v>180000000</v>
      </c>
      <c r="H3" s="44" t="s">
        <v>102</v>
      </c>
      <c r="I3" s="42">
        <v>15000000</v>
      </c>
      <c r="J3" s="43">
        <v>60000000</v>
      </c>
      <c r="K3" s="44" t="s">
        <v>102</v>
      </c>
      <c r="L3" s="43">
        <v>19950000</v>
      </c>
      <c r="M3" s="43">
        <v>30000000</v>
      </c>
      <c r="N3" s="43">
        <v>9975000</v>
      </c>
      <c r="O3" s="43">
        <v>19950000</v>
      </c>
      <c r="P3" s="43">
        <v>70000000</v>
      </c>
      <c r="Q3" s="44">
        <v>97500</v>
      </c>
      <c r="R3" s="43">
        <v>15000000</v>
      </c>
      <c r="S3" s="43">
        <v>29975000</v>
      </c>
      <c r="T3" s="43">
        <v>1634500</v>
      </c>
      <c r="U3" s="233">
        <v>47000</v>
      </c>
      <c r="V3" s="233">
        <v>27500</v>
      </c>
      <c r="W3" s="233"/>
      <c r="X3" s="233"/>
      <c r="Y3" s="233"/>
      <c r="Z3" s="233"/>
      <c r="AA3" s="233"/>
      <c r="AB3" s="265"/>
      <c r="AD3" s="104" t="s">
        <v>1</v>
      </c>
      <c r="AE3" s="9">
        <f ca="1">AnzahlBackgroundColor(B3:AB3)</f>
        <v>3</v>
      </c>
      <c r="AF3" s="16">
        <f ca="1">AJ3-AnzahlBackgroundColor(B3:AB3)</f>
        <v>14</v>
      </c>
      <c r="AG3">
        <f ca="1">AE3/AF3*100</f>
        <v>21.428571428571427</v>
      </c>
      <c r="AH3">
        <f ca="1">AE3*0.01</f>
        <v>0.03</v>
      </c>
      <c r="AJ3">
        <f>2025-1999+1</f>
        <v>27</v>
      </c>
    </row>
    <row r="4" spans="1:36" x14ac:dyDescent="0.2">
      <c r="A4" s="104" t="s">
        <v>2</v>
      </c>
      <c r="B4" s="113" t="s">
        <v>102</v>
      </c>
      <c r="C4" s="114">
        <v>337000000</v>
      </c>
      <c r="D4" s="110" t="s">
        <v>102</v>
      </c>
      <c r="E4" s="44" t="s">
        <v>102</v>
      </c>
      <c r="F4" s="43">
        <v>40010808</v>
      </c>
      <c r="G4" s="42">
        <v>159250000</v>
      </c>
      <c r="H4" s="44" t="s">
        <v>102</v>
      </c>
      <c r="I4" s="43">
        <v>30000000</v>
      </c>
      <c r="J4" s="43">
        <v>70000000</v>
      </c>
      <c r="K4" s="44" t="s">
        <v>102</v>
      </c>
      <c r="L4" s="43">
        <v>10000000</v>
      </c>
      <c r="M4" s="43">
        <v>20000000</v>
      </c>
      <c r="N4" s="44" t="s">
        <v>102</v>
      </c>
      <c r="O4" s="42">
        <v>15000000</v>
      </c>
      <c r="P4" s="266">
        <v>22000000</v>
      </c>
      <c r="Q4" s="266">
        <v>3125000</v>
      </c>
      <c r="R4" s="42">
        <v>25000000</v>
      </c>
      <c r="S4" s="43">
        <v>16250000</v>
      </c>
      <c r="T4" s="44">
        <v>27500</v>
      </c>
      <c r="U4" s="233">
        <v>47000</v>
      </c>
      <c r="V4" s="233">
        <v>27500</v>
      </c>
      <c r="W4" s="233"/>
      <c r="X4" s="233"/>
      <c r="Y4" s="233"/>
      <c r="Z4" s="233"/>
      <c r="AA4" s="233"/>
      <c r="AB4" s="265"/>
      <c r="AD4" s="104" t="s">
        <v>2</v>
      </c>
      <c r="AE4" s="9">
        <f ca="1">AnzahlBackgroundColor(B4:AB4)</f>
        <v>4</v>
      </c>
      <c r="AF4" s="16">
        <f t="shared" ref="AF4:AF10" ca="1" si="0">AJ4-AnzahlBackgroundColor(B4:AB4)</f>
        <v>12</v>
      </c>
      <c r="AG4">
        <f t="shared" ref="AG4:AG9" ca="1" si="1">AE4/AF4*100</f>
        <v>33.333333333333329</v>
      </c>
      <c r="AH4">
        <f ca="1">AE4*0.02</f>
        <v>0.08</v>
      </c>
      <c r="AJ4">
        <f t="shared" ref="AJ4:AJ67" si="2">2025-1999+1</f>
        <v>27</v>
      </c>
    </row>
    <row r="5" spans="1:36" x14ac:dyDescent="0.2">
      <c r="A5" s="104" t="s">
        <v>3</v>
      </c>
      <c r="B5" s="115">
        <v>300000000</v>
      </c>
      <c r="C5" s="116" t="s">
        <v>102</v>
      </c>
      <c r="D5" s="110" t="s">
        <v>102</v>
      </c>
      <c r="E5" s="44" t="s">
        <v>102</v>
      </c>
      <c r="F5" s="43">
        <v>30056908</v>
      </c>
      <c r="G5" s="42">
        <v>80000000</v>
      </c>
      <c r="H5" s="42">
        <v>110000000</v>
      </c>
      <c r="I5" s="43">
        <v>35000000</v>
      </c>
      <c r="J5" s="44" t="s">
        <v>102</v>
      </c>
      <c r="K5" s="44" t="s">
        <v>102</v>
      </c>
      <c r="L5" s="44" t="s">
        <v>102</v>
      </c>
      <c r="M5" s="43">
        <v>25000000</v>
      </c>
      <c r="N5" s="42">
        <v>25000000</v>
      </c>
      <c r="O5" s="43">
        <v>22500000</v>
      </c>
      <c r="P5" s="43">
        <v>25000000</v>
      </c>
      <c r="Q5" s="42">
        <v>14500000</v>
      </c>
      <c r="R5" s="43">
        <v>7000000</v>
      </c>
      <c r="S5" s="43">
        <v>19900000</v>
      </c>
      <c r="T5" s="43">
        <v>48444500</v>
      </c>
      <c r="U5" s="232">
        <v>5300000</v>
      </c>
      <c r="V5" s="232">
        <v>10000000</v>
      </c>
      <c r="W5" s="233"/>
      <c r="X5" s="233"/>
      <c r="Y5" s="233"/>
      <c r="Z5" s="233"/>
      <c r="AA5" s="233"/>
      <c r="AB5" s="265"/>
      <c r="AD5" s="104" t="s">
        <v>3</v>
      </c>
      <c r="AE5" s="9">
        <f ca="1">AnzahlBackgroundColor(B5:AB5)</f>
        <v>5</v>
      </c>
      <c r="AF5" s="16">
        <f t="shared" ca="1" si="0"/>
        <v>15</v>
      </c>
      <c r="AG5">
        <f t="shared" ca="1" si="1"/>
        <v>33.333333333333329</v>
      </c>
      <c r="AH5">
        <f ca="1">AE5*0.05</f>
        <v>0.25</v>
      </c>
      <c r="AJ5">
        <f t="shared" si="2"/>
        <v>27</v>
      </c>
    </row>
    <row r="6" spans="1:36" x14ac:dyDescent="0.2">
      <c r="A6" s="104" t="s">
        <v>4</v>
      </c>
      <c r="B6" s="115">
        <v>180950000</v>
      </c>
      <c r="C6" s="116" t="s">
        <v>102</v>
      </c>
      <c r="D6" s="99">
        <v>145750000</v>
      </c>
      <c r="E6" s="44">
        <v>90830</v>
      </c>
      <c r="F6" s="44" t="s">
        <v>103</v>
      </c>
      <c r="G6" s="42">
        <v>20000000</v>
      </c>
      <c r="H6" s="42">
        <v>10000000</v>
      </c>
      <c r="I6" s="44" t="s">
        <v>102</v>
      </c>
      <c r="J6" s="44" t="s">
        <v>102</v>
      </c>
      <c r="K6" s="44" t="s">
        <v>102</v>
      </c>
      <c r="L6" s="44" t="s">
        <v>102</v>
      </c>
      <c r="M6" s="43">
        <v>20000000</v>
      </c>
      <c r="N6" s="43">
        <v>25000000</v>
      </c>
      <c r="O6" s="43">
        <v>25000000</v>
      </c>
      <c r="P6" s="43">
        <v>5</v>
      </c>
      <c r="Q6" s="44">
        <v>97500</v>
      </c>
      <c r="R6" s="43">
        <v>11000000</v>
      </c>
      <c r="S6" s="44">
        <v>45000</v>
      </c>
      <c r="T6" s="43">
        <v>3000000</v>
      </c>
      <c r="U6" s="263">
        <v>12300000</v>
      </c>
      <c r="V6" s="232">
        <v>5000000</v>
      </c>
      <c r="W6" s="233"/>
      <c r="X6" s="233"/>
      <c r="Y6" s="233"/>
      <c r="Z6" s="233"/>
      <c r="AA6" s="233"/>
      <c r="AB6" s="265"/>
      <c r="AD6" s="104" t="s">
        <v>4</v>
      </c>
      <c r="AE6" s="9">
        <f ca="1">AnzahlBackgroundColor(B6:AB6)</f>
        <v>5</v>
      </c>
      <c r="AF6" s="16">
        <f t="shared" ca="1" si="0"/>
        <v>12</v>
      </c>
      <c r="AG6">
        <f t="shared" ca="1" si="1"/>
        <v>41.666666666666671</v>
      </c>
      <c r="AH6">
        <f ca="1">AE6*0.1</f>
        <v>0.5</v>
      </c>
      <c r="AJ6">
        <f t="shared" si="2"/>
        <v>27</v>
      </c>
    </row>
    <row r="7" spans="1:36" x14ac:dyDescent="0.2">
      <c r="A7" s="104" t="s">
        <v>5</v>
      </c>
      <c r="B7" s="113" t="s">
        <v>102</v>
      </c>
      <c r="C7" s="114">
        <v>181000000</v>
      </c>
      <c r="D7" s="110" t="s">
        <v>102</v>
      </c>
      <c r="E7" s="42">
        <v>104000000</v>
      </c>
      <c r="F7" s="42">
        <v>30006146</v>
      </c>
      <c r="G7" s="42">
        <v>70000000</v>
      </c>
      <c r="H7" s="42">
        <v>10000000</v>
      </c>
      <c r="I7" s="42">
        <v>40000000</v>
      </c>
      <c r="J7" s="42">
        <v>25000000</v>
      </c>
      <c r="K7" s="42">
        <v>20000000</v>
      </c>
      <c r="L7" s="42">
        <v>30100000</v>
      </c>
      <c r="M7" s="43">
        <v>15000000</v>
      </c>
      <c r="N7" s="42">
        <v>40250000</v>
      </c>
      <c r="O7" s="42">
        <v>42350000</v>
      </c>
      <c r="P7" s="44" t="s">
        <v>102</v>
      </c>
      <c r="Q7" s="44">
        <v>97500</v>
      </c>
      <c r="R7" s="44">
        <v>45000</v>
      </c>
      <c r="S7" s="44">
        <v>45000</v>
      </c>
      <c r="T7" s="44">
        <v>27500</v>
      </c>
      <c r="U7" s="233">
        <v>47000</v>
      </c>
      <c r="V7" s="263">
        <v>21000000</v>
      </c>
      <c r="W7" s="233"/>
      <c r="X7" s="233"/>
      <c r="Y7" s="233"/>
      <c r="Z7" s="233"/>
      <c r="AA7" s="233"/>
      <c r="AB7" s="265"/>
      <c r="AD7" s="104" t="s">
        <v>5</v>
      </c>
      <c r="AE7" s="9">
        <f ca="1">AnzahlBackgroundColor(B7:AB7)</f>
        <v>12</v>
      </c>
      <c r="AF7" s="16">
        <f t="shared" ca="1" si="0"/>
        <v>13</v>
      </c>
      <c r="AG7">
        <f t="shared" ca="1" si="1"/>
        <v>92.307692307692307</v>
      </c>
      <c r="AH7">
        <f ca="1">AE7*0.2</f>
        <v>2.4000000000000004</v>
      </c>
      <c r="AJ7">
        <f t="shared" si="2"/>
        <v>27</v>
      </c>
    </row>
    <row r="8" spans="1:36" x14ac:dyDescent="0.2">
      <c r="A8" s="104" t="s">
        <v>6</v>
      </c>
      <c r="B8" s="115">
        <v>197000000</v>
      </c>
      <c r="C8" s="116" t="s">
        <v>102</v>
      </c>
      <c r="D8" s="110" t="s">
        <v>102</v>
      </c>
      <c r="E8" s="42">
        <v>50019648</v>
      </c>
      <c r="F8" s="44" t="s">
        <v>103</v>
      </c>
      <c r="G8" s="42">
        <v>15000000</v>
      </c>
      <c r="H8" s="44" t="s">
        <v>102</v>
      </c>
      <c r="I8" s="44" t="s">
        <v>102</v>
      </c>
      <c r="J8" s="42">
        <v>5000000</v>
      </c>
      <c r="K8" s="42">
        <v>25000000</v>
      </c>
      <c r="L8" s="42">
        <v>30000000</v>
      </c>
      <c r="M8" s="44" t="s">
        <v>102</v>
      </c>
      <c r="N8" s="42">
        <v>15000000</v>
      </c>
      <c r="O8" s="42">
        <v>30000000</v>
      </c>
      <c r="P8" s="44" t="s">
        <v>102</v>
      </c>
      <c r="Q8" s="42">
        <v>10000000</v>
      </c>
      <c r="R8" s="43">
        <v>17000000</v>
      </c>
      <c r="S8" s="43">
        <v>2000000</v>
      </c>
      <c r="T8" s="43">
        <v>5000000</v>
      </c>
      <c r="U8" s="233">
        <v>47000</v>
      </c>
      <c r="V8" s="263">
        <v>12000000</v>
      </c>
      <c r="W8" s="233"/>
      <c r="X8" s="233"/>
      <c r="Y8" s="233"/>
      <c r="Z8" s="233"/>
      <c r="AA8" s="233"/>
      <c r="AB8" s="265"/>
      <c r="AD8" s="104" t="s">
        <v>6</v>
      </c>
      <c r="AE8" s="9">
        <f ca="1">AnzahlBackgroundColor(B8:AB8)</f>
        <v>10</v>
      </c>
      <c r="AF8" s="16">
        <f t="shared" ca="1" si="0"/>
        <v>13</v>
      </c>
      <c r="AG8">
        <f t="shared" ca="1" si="1"/>
        <v>76.923076923076934</v>
      </c>
      <c r="AH8">
        <f ca="1">AE8*0.5</f>
        <v>5</v>
      </c>
      <c r="AJ8">
        <f t="shared" si="2"/>
        <v>27</v>
      </c>
    </row>
    <row r="9" spans="1:36" x14ac:dyDescent="0.2">
      <c r="A9" s="104" t="s">
        <v>7</v>
      </c>
      <c r="B9" s="115">
        <v>160000000</v>
      </c>
      <c r="C9" s="116" t="s">
        <v>102</v>
      </c>
      <c r="D9" s="110" t="s">
        <v>102</v>
      </c>
      <c r="E9" s="42">
        <v>84526660</v>
      </c>
      <c r="F9" s="43">
        <v>6000000</v>
      </c>
      <c r="G9" s="42">
        <v>15000000</v>
      </c>
      <c r="H9" s="44" t="s">
        <v>102</v>
      </c>
      <c r="I9" s="44" t="s">
        <v>102</v>
      </c>
      <c r="J9" s="44" t="s">
        <v>102</v>
      </c>
      <c r="K9" s="42">
        <v>5000000</v>
      </c>
      <c r="L9" s="42">
        <v>10000000</v>
      </c>
      <c r="M9" s="44" t="s">
        <v>102</v>
      </c>
      <c r="N9" s="42">
        <v>15000000</v>
      </c>
      <c r="O9" s="42">
        <v>10000000</v>
      </c>
      <c r="P9" s="44" t="s">
        <v>102</v>
      </c>
      <c r="Q9" s="44">
        <v>97500</v>
      </c>
      <c r="R9" s="44">
        <v>45000</v>
      </c>
      <c r="S9" s="44">
        <v>45000</v>
      </c>
      <c r="T9" s="44">
        <v>27500</v>
      </c>
      <c r="U9" s="233">
        <v>47000</v>
      </c>
      <c r="V9" s="233">
        <v>27500</v>
      </c>
      <c r="W9" s="233"/>
      <c r="X9" s="233"/>
      <c r="Y9" s="233"/>
      <c r="Z9" s="233"/>
      <c r="AA9" s="233"/>
      <c r="AB9" s="265"/>
      <c r="AD9" s="104" t="s">
        <v>7</v>
      </c>
      <c r="AE9" s="9">
        <f ca="1">AnzahlBackgroundColor(B9:AB9)</f>
        <v>7</v>
      </c>
      <c r="AF9" s="16">
        <f t="shared" ca="1" si="0"/>
        <v>8</v>
      </c>
      <c r="AG9">
        <f t="shared" ca="1" si="1"/>
        <v>87.5</v>
      </c>
      <c r="AH9">
        <f ca="1">AE9*1</f>
        <v>7</v>
      </c>
      <c r="AJ9">
        <f t="shared" si="2"/>
        <v>27</v>
      </c>
    </row>
    <row r="10" spans="1:36" ht="16" thickBot="1" x14ac:dyDescent="0.25">
      <c r="A10" s="104" t="s">
        <v>8</v>
      </c>
      <c r="B10" s="117" t="s">
        <v>102</v>
      </c>
      <c r="C10" s="118">
        <v>120000000</v>
      </c>
      <c r="D10" s="110" t="s">
        <v>102</v>
      </c>
      <c r="E10" s="42">
        <v>50000000</v>
      </c>
      <c r="F10" s="42">
        <v>30030404</v>
      </c>
      <c r="G10" s="42">
        <v>60000000</v>
      </c>
      <c r="H10" s="42">
        <v>10500000</v>
      </c>
      <c r="I10" s="42">
        <v>20000000</v>
      </c>
      <c r="J10" s="42">
        <v>35000000</v>
      </c>
      <c r="K10" s="42">
        <v>25000000</v>
      </c>
      <c r="L10" s="42">
        <v>5000000</v>
      </c>
      <c r="M10" s="42">
        <v>15000000</v>
      </c>
      <c r="N10" s="42">
        <v>32000000</v>
      </c>
      <c r="O10" s="44" t="s">
        <v>102</v>
      </c>
      <c r="P10" s="44" t="s">
        <v>102</v>
      </c>
      <c r="Q10" s="44">
        <v>97500</v>
      </c>
      <c r="R10" s="44">
        <v>45000</v>
      </c>
      <c r="S10" s="44">
        <v>45000</v>
      </c>
      <c r="T10" s="44">
        <v>27500</v>
      </c>
      <c r="U10" s="233">
        <v>47000</v>
      </c>
      <c r="V10" s="232">
        <v>3000000</v>
      </c>
      <c r="W10" s="233"/>
      <c r="X10" s="233"/>
      <c r="Y10" s="233"/>
      <c r="Z10" s="233"/>
      <c r="AA10" s="233"/>
      <c r="AB10" s="265"/>
      <c r="AD10" s="104" t="s">
        <v>8</v>
      </c>
      <c r="AE10" s="9">
        <f ca="1">AnzahlBackgroundColor(B10:AB10)</f>
        <v>11</v>
      </c>
      <c r="AF10" s="16">
        <f t="shared" ca="1" si="0"/>
        <v>12</v>
      </c>
      <c r="AG10">
        <f ca="1">AE10/AF10*100</f>
        <v>91.666666666666657</v>
      </c>
      <c r="AH10">
        <f ca="1">AE10*2</f>
        <v>22</v>
      </c>
      <c r="AJ10">
        <f t="shared" si="2"/>
        <v>27</v>
      </c>
    </row>
    <row r="11" spans="1:36" x14ac:dyDescent="0.2">
      <c r="B11" s="121" t="s">
        <v>116</v>
      </c>
      <c r="C11" s="121" t="s">
        <v>116</v>
      </c>
      <c r="D11" s="84"/>
      <c r="G11" s="122" t="s">
        <v>117</v>
      </c>
      <c r="AD11" s="104" t="s">
        <v>75</v>
      </c>
      <c r="AE11" s="19">
        <f ca="1">SUM(AE3:AE10)</f>
        <v>57</v>
      </c>
      <c r="AF11" s="19">
        <f ca="1">SUM(AF3:AF10)</f>
        <v>99</v>
      </c>
      <c r="AG11" s="19">
        <f t="shared" ref="AG11" ca="1" si="3">AE11/AF11*100</f>
        <v>57.575757575757578</v>
      </c>
      <c r="AH11" s="19">
        <f ca="1" xml:space="preserve"> AH3+AH4+AH5+AH6+AH7+AH8+AH9+AH10</f>
        <v>37.26</v>
      </c>
      <c r="AJ11">
        <f t="shared" si="2"/>
        <v>27</v>
      </c>
    </row>
    <row r="12" spans="1:36" x14ac:dyDescent="0.2">
      <c r="B12" s="1" t="s">
        <v>9</v>
      </c>
      <c r="C12" s="1" t="s">
        <v>9</v>
      </c>
      <c r="D12" s="1" t="s">
        <v>9</v>
      </c>
      <c r="E12" s="1" t="s">
        <v>9</v>
      </c>
      <c r="F12" s="1" t="s">
        <v>9</v>
      </c>
      <c r="G12" s="1" t="s">
        <v>9</v>
      </c>
      <c r="H12" s="1" t="s">
        <v>9</v>
      </c>
      <c r="I12" s="1" t="s">
        <v>9</v>
      </c>
      <c r="J12" s="1" t="s">
        <v>9</v>
      </c>
      <c r="K12" s="1" t="s">
        <v>9</v>
      </c>
      <c r="L12" s="1" t="s">
        <v>9</v>
      </c>
      <c r="M12" s="1" t="s">
        <v>9</v>
      </c>
      <c r="N12" s="1" t="s">
        <v>9</v>
      </c>
      <c r="O12" s="1" t="s">
        <v>9</v>
      </c>
      <c r="P12" s="1" t="s">
        <v>9</v>
      </c>
      <c r="Q12" s="1" t="s">
        <v>9</v>
      </c>
      <c r="R12" s="1" t="s">
        <v>9</v>
      </c>
      <c r="S12" s="1" t="s">
        <v>9</v>
      </c>
      <c r="T12" s="1" t="s">
        <v>9</v>
      </c>
      <c r="U12" s="1" t="s">
        <v>9</v>
      </c>
      <c r="V12" s="1" t="s">
        <v>9</v>
      </c>
      <c r="W12" s="1" t="s">
        <v>9</v>
      </c>
      <c r="X12" s="1" t="s">
        <v>9</v>
      </c>
      <c r="Y12" s="1" t="s">
        <v>9</v>
      </c>
      <c r="Z12" s="1" t="s">
        <v>9</v>
      </c>
      <c r="AA12" s="1" t="s">
        <v>9</v>
      </c>
      <c r="AB12" s="1" t="s">
        <v>9</v>
      </c>
      <c r="AF12" s="4"/>
      <c r="AG12" s="4"/>
      <c r="AJ12">
        <f t="shared" si="2"/>
        <v>27</v>
      </c>
    </row>
    <row r="13" spans="1:36" x14ac:dyDescent="0.2">
      <c r="B13" s="4">
        <v>1999</v>
      </c>
      <c r="C13" s="4">
        <v>2000</v>
      </c>
      <c r="D13" s="4">
        <v>2001</v>
      </c>
      <c r="E13" s="4">
        <v>2002</v>
      </c>
      <c r="F13" s="4">
        <v>2003</v>
      </c>
      <c r="G13" s="4">
        <v>2004</v>
      </c>
      <c r="H13" s="4">
        <v>2005</v>
      </c>
      <c r="I13" s="4">
        <v>2006</v>
      </c>
      <c r="J13" s="4">
        <v>2007</v>
      </c>
      <c r="K13" s="4">
        <v>2008</v>
      </c>
      <c r="L13" s="4">
        <v>2009</v>
      </c>
      <c r="M13" s="4">
        <v>2010</v>
      </c>
      <c r="N13" s="4">
        <v>2011</v>
      </c>
      <c r="O13" s="4">
        <v>2012</v>
      </c>
      <c r="P13" s="4">
        <v>2013</v>
      </c>
      <c r="Q13" s="4">
        <v>2014</v>
      </c>
      <c r="R13" s="4">
        <v>2015</v>
      </c>
      <c r="S13" s="4">
        <v>2016</v>
      </c>
      <c r="T13" s="4">
        <v>2017</v>
      </c>
      <c r="U13" s="4">
        <v>2018</v>
      </c>
      <c r="V13" s="4">
        <v>2019</v>
      </c>
      <c r="W13" s="4">
        <v>2020</v>
      </c>
      <c r="X13" s="4">
        <v>2021</v>
      </c>
      <c r="Y13" s="4">
        <v>2022</v>
      </c>
      <c r="Z13" s="4">
        <v>2023</v>
      </c>
      <c r="AA13" s="4">
        <v>2024</v>
      </c>
      <c r="AB13" s="4">
        <v>2025</v>
      </c>
      <c r="AE13" t="s">
        <v>73</v>
      </c>
      <c r="AF13" s="4" t="s">
        <v>74</v>
      </c>
      <c r="AG13" s="4" t="s">
        <v>77</v>
      </c>
      <c r="AH13" t="s">
        <v>78</v>
      </c>
      <c r="AJ13">
        <f t="shared" si="2"/>
        <v>27</v>
      </c>
    </row>
    <row r="14" spans="1:36" x14ac:dyDescent="0.2">
      <c r="A14" s="104" t="s">
        <v>1</v>
      </c>
      <c r="B14" s="187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98"/>
      <c r="N14" s="98">
        <v>32000000</v>
      </c>
      <c r="O14" s="43">
        <v>25000000</v>
      </c>
      <c r="P14" s="44" t="s">
        <v>101</v>
      </c>
      <c r="Q14" s="6"/>
      <c r="R14" s="98">
        <v>14000000</v>
      </c>
      <c r="S14" s="110">
        <v>20000</v>
      </c>
      <c r="T14" s="98">
        <v>9000000</v>
      </c>
      <c r="U14" s="110">
        <v>500000</v>
      </c>
      <c r="V14" s="98">
        <v>10000000</v>
      </c>
      <c r="W14" s="110"/>
      <c r="X14" s="110"/>
      <c r="Y14" s="233"/>
      <c r="Z14" s="233"/>
      <c r="AA14" s="233"/>
      <c r="AB14" s="265"/>
      <c r="AD14" s="104" t="s">
        <v>1</v>
      </c>
      <c r="AE14" s="9">
        <f ca="1">AnzahlBackgroundColor(E14:AB14)</f>
        <v>0</v>
      </c>
      <c r="AF14" s="16">
        <f ca="1">AJ14-AnzahlBackgroundColor(A14:AB14)</f>
        <v>5</v>
      </c>
      <c r="AG14">
        <f ca="1">AE14/AF14*100</f>
        <v>0</v>
      </c>
      <c r="AH14">
        <f ca="1">AE14*0.01</f>
        <v>0</v>
      </c>
      <c r="AJ14">
        <f t="shared" si="2"/>
        <v>27</v>
      </c>
    </row>
    <row r="15" spans="1:36" x14ac:dyDescent="0.2">
      <c r="A15" s="104" t="s">
        <v>2</v>
      </c>
      <c r="B15" s="191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99"/>
      <c r="N15" s="98">
        <v>30000000</v>
      </c>
      <c r="O15" s="43">
        <v>25000000</v>
      </c>
      <c r="P15" s="44" t="s">
        <v>101</v>
      </c>
      <c r="Q15" s="6"/>
      <c r="R15" s="98">
        <v>17100000</v>
      </c>
      <c r="S15" s="110">
        <v>20000</v>
      </c>
      <c r="T15" s="98">
        <v>4000000</v>
      </c>
      <c r="U15" s="98">
        <v>8500000</v>
      </c>
      <c r="V15" s="110"/>
      <c r="W15" s="98">
        <v>2000000</v>
      </c>
      <c r="X15" s="98">
        <v>8000000</v>
      </c>
      <c r="Y15" s="233"/>
      <c r="Z15" s="233"/>
      <c r="AA15" s="233"/>
      <c r="AB15" s="265"/>
      <c r="AD15" s="104" t="s">
        <v>2</v>
      </c>
      <c r="AE15" s="9">
        <f ca="1">AnzahlBackgroundColor(E15:AB15)</f>
        <v>0</v>
      </c>
      <c r="AF15" s="16">
        <f t="shared" ref="AF15:AF21" ca="1" si="4">AJ15-AnzahlBackgroundColor(A15:AB15)</f>
        <v>7</v>
      </c>
      <c r="AG15">
        <f t="shared" ref="AG15:AG20" ca="1" si="5">AE15/AF15*100</f>
        <v>0</v>
      </c>
      <c r="AH15">
        <f ca="1">AE15*0.02</f>
        <v>0</v>
      </c>
      <c r="AJ15">
        <f t="shared" si="2"/>
        <v>27</v>
      </c>
    </row>
    <row r="16" spans="1:36" x14ac:dyDescent="0.2">
      <c r="A16" s="104" t="s">
        <v>3</v>
      </c>
      <c r="B16" s="191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99"/>
      <c r="N16" s="99">
        <v>30000000</v>
      </c>
      <c r="O16" s="44" t="s">
        <v>101</v>
      </c>
      <c r="P16" s="44" t="s">
        <v>101</v>
      </c>
      <c r="Q16" s="6"/>
      <c r="R16" s="6"/>
      <c r="S16" s="110">
        <v>20000</v>
      </c>
      <c r="T16" s="98">
        <v>4550000</v>
      </c>
      <c r="U16" s="98">
        <v>4500000</v>
      </c>
      <c r="V16" s="110"/>
      <c r="W16" s="110"/>
      <c r="X16" s="110"/>
      <c r="Y16" s="233"/>
      <c r="Z16" s="233"/>
      <c r="AA16" s="233"/>
      <c r="AB16" s="265"/>
      <c r="AD16" s="104" t="s">
        <v>3</v>
      </c>
      <c r="AE16" s="9">
        <f ca="1">AnzahlBackgroundColor(E16:AB16)</f>
        <v>1</v>
      </c>
      <c r="AF16" s="16">
        <f t="shared" ca="1" si="4"/>
        <v>3</v>
      </c>
      <c r="AG16">
        <f t="shared" ca="1" si="5"/>
        <v>33.333333333333329</v>
      </c>
      <c r="AH16">
        <f ca="1">AE16*0.05</f>
        <v>0.05</v>
      </c>
      <c r="AJ16">
        <f t="shared" si="2"/>
        <v>27</v>
      </c>
    </row>
    <row r="17" spans="1:36" x14ac:dyDescent="0.2">
      <c r="A17" s="104" t="s">
        <v>4</v>
      </c>
      <c r="B17" s="191"/>
      <c r="C17" s="186"/>
      <c r="D17" s="186"/>
      <c r="E17" s="192"/>
      <c r="F17" s="192"/>
      <c r="G17" s="192"/>
      <c r="H17" s="192"/>
      <c r="I17" s="192"/>
      <c r="J17" s="192"/>
      <c r="K17" s="192"/>
      <c r="L17" s="192"/>
      <c r="M17" s="193"/>
      <c r="N17" s="98">
        <v>30000000</v>
      </c>
      <c r="O17" s="44" t="s">
        <v>101</v>
      </c>
      <c r="P17" s="44" t="s">
        <v>101</v>
      </c>
      <c r="Q17" s="6"/>
      <c r="R17" s="6"/>
      <c r="S17" s="110">
        <v>20000</v>
      </c>
      <c r="T17" s="110"/>
      <c r="U17" s="110">
        <v>500000</v>
      </c>
      <c r="V17" s="110"/>
      <c r="W17" s="110"/>
      <c r="X17" s="110"/>
      <c r="Y17" s="233"/>
      <c r="Z17" s="233"/>
      <c r="AA17" s="233"/>
      <c r="AB17" s="265"/>
      <c r="AD17" s="104" t="s">
        <v>4</v>
      </c>
      <c r="AE17" s="9">
        <f ca="1">AnzahlBackgroundColor(E17:AB17)</f>
        <v>0</v>
      </c>
      <c r="AF17" s="16">
        <f t="shared" ca="1" si="4"/>
        <v>1</v>
      </c>
      <c r="AG17">
        <f t="shared" ca="1" si="5"/>
        <v>0</v>
      </c>
      <c r="AH17">
        <f ca="1">AE17*0.1</f>
        <v>0</v>
      </c>
      <c r="AJ17">
        <f t="shared" si="2"/>
        <v>27</v>
      </c>
    </row>
    <row r="18" spans="1:36" x14ac:dyDescent="0.2">
      <c r="A18" s="104" t="s">
        <v>5</v>
      </c>
      <c r="B18" s="191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99"/>
      <c r="N18" s="99">
        <v>25000000</v>
      </c>
      <c r="O18" s="44" t="s">
        <v>101</v>
      </c>
      <c r="P18" s="44" t="s">
        <v>101</v>
      </c>
      <c r="Q18" s="6"/>
      <c r="R18" s="6"/>
      <c r="S18" s="110">
        <v>20000</v>
      </c>
      <c r="T18" s="98">
        <v>3250000</v>
      </c>
      <c r="U18" s="98">
        <v>4000000</v>
      </c>
      <c r="V18" s="110"/>
      <c r="W18" s="98">
        <v>1500000</v>
      </c>
      <c r="X18" s="98">
        <v>2000000</v>
      </c>
      <c r="Y18" s="233"/>
      <c r="Z18" s="233"/>
      <c r="AA18" s="233"/>
      <c r="AB18" s="265"/>
      <c r="AD18" s="104" t="s">
        <v>5</v>
      </c>
      <c r="AE18" s="9">
        <f ca="1">AnzahlBackgroundColor(E18:AB18)</f>
        <v>1</v>
      </c>
      <c r="AF18" s="16">
        <f t="shared" ca="1" si="4"/>
        <v>5</v>
      </c>
      <c r="AG18">
        <f t="shared" ca="1" si="5"/>
        <v>20</v>
      </c>
      <c r="AH18">
        <f ca="1">AE18*0.2</f>
        <v>0.2</v>
      </c>
      <c r="AJ18">
        <f t="shared" si="2"/>
        <v>27</v>
      </c>
    </row>
    <row r="19" spans="1:36" x14ac:dyDescent="0.2">
      <c r="A19" s="104" t="s">
        <v>6</v>
      </c>
      <c r="B19" s="191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99"/>
      <c r="N19" s="99">
        <v>20000000</v>
      </c>
      <c r="O19" s="44" t="s">
        <v>101</v>
      </c>
      <c r="P19" s="44" t="s">
        <v>101</v>
      </c>
      <c r="Q19" s="6"/>
      <c r="R19" s="6"/>
      <c r="S19" s="110">
        <v>20000</v>
      </c>
      <c r="T19" s="110"/>
      <c r="U19" s="110">
        <v>500000</v>
      </c>
      <c r="V19" s="110"/>
      <c r="W19" s="110"/>
      <c r="X19" s="110"/>
      <c r="Y19" s="233"/>
      <c r="Z19" s="233"/>
      <c r="AA19" s="233"/>
      <c r="AB19" s="265"/>
      <c r="AD19" s="104" t="s">
        <v>6</v>
      </c>
      <c r="AE19" s="9">
        <f ca="1">AnzahlBackgroundColor(E19:AB19)</f>
        <v>1</v>
      </c>
      <c r="AF19" s="16">
        <f t="shared" ca="1" si="4"/>
        <v>1</v>
      </c>
      <c r="AG19">
        <f t="shared" ca="1" si="5"/>
        <v>100</v>
      </c>
      <c r="AH19">
        <f ca="1">AE19*0.5</f>
        <v>0.5</v>
      </c>
      <c r="AJ19">
        <f t="shared" si="2"/>
        <v>27</v>
      </c>
    </row>
    <row r="20" spans="1:36" s="4" customFormat="1" x14ac:dyDescent="0.2">
      <c r="A20" s="104" t="s">
        <v>7</v>
      </c>
      <c r="B20" s="204"/>
      <c r="C20" s="192"/>
      <c r="D20" s="192"/>
      <c r="E20" s="186"/>
      <c r="F20" s="186"/>
      <c r="G20" s="186"/>
      <c r="H20" s="186"/>
      <c r="I20" s="186"/>
      <c r="J20" s="186"/>
      <c r="K20" s="186"/>
      <c r="L20" s="186"/>
      <c r="M20" s="199"/>
      <c r="N20" s="99">
        <v>16000000</v>
      </c>
      <c r="O20" s="44" t="s">
        <v>101</v>
      </c>
      <c r="P20" s="44" t="s">
        <v>101</v>
      </c>
      <c r="Q20" s="207"/>
      <c r="R20" s="207"/>
      <c r="S20" s="110">
        <v>20000</v>
      </c>
      <c r="T20" s="110"/>
      <c r="U20" s="110">
        <v>500000</v>
      </c>
      <c r="V20" s="110"/>
      <c r="W20" s="110"/>
      <c r="X20" s="110"/>
      <c r="Y20" s="233"/>
      <c r="Z20" s="233"/>
      <c r="AA20" s="233"/>
      <c r="AB20" s="265"/>
      <c r="AC20"/>
      <c r="AD20" s="104" t="s">
        <v>7</v>
      </c>
      <c r="AE20" s="9">
        <f ca="1">AnzahlBackgroundColor(E20:AB20)</f>
        <v>1</v>
      </c>
      <c r="AF20" s="16">
        <f t="shared" ca="1" si="4"/>
        <v>1</v>
      </c>
      <c r="AG20">
        <f t="shared" ca="1" si="5"/>
        <v>100</v>
      </c>
      <c r="AH20">
        <f ca="1">AE20*1</f>
        <v>1</v>
      </c>
      <c r="AJ20">
        <f t="shared" si="2"/>
        <v>27</v>
      </c>
    </row>
    <row r="21" spans="1:36" x14ac:dyDescent="0.2">
      <c r="A21" s="104" t="s">
        <v>8</v>
      </c>
      <c r="B21" s="194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200"/>
      <c r="N21" s="99">
        <v>11000000</v>
      </c>
      <c r="O21" s="44" t="s">
        <v>101</v>
      </c>
      <c r="P21" s="44" t="s">
        <v>101</v>
      </c>
      <c r="Q21" s="6"/>
      <c r="R21" s="6"/>
      <c r="S21" s="110">
        <v>20000</v>
      </c>
      <c r="T21" s="110"/>
      <c r="U21" s="110">
        <v>500000</v>
      </c>
      <c r="V21" s="110"/>
      <c r="W21" s="110"/>
      <c r="X21" s="110"/>
      <c r="Y21" s="233"/>
      <c r="Z21" s="233"/>
      <c r="AA21" s="233"/>
      <c r="AB21" s="265"/>
      <c r="AD21" s="104" t="s">
        <v>8</v>
      </c>
      <c r="AE21" s="9">
        <f ca="1">AnzahlBackgroundColor(E21:AB21)</f>
        <v>1</v>
      </c>
      <c r="AF21" s="16">
        <f t="shared" ca="1" si="4"/>
        <v>1</v>
      </c>
      <c r="AG21">
        <f ca="1">AE21/AF21*100</f>
        <v>100</v>
      </c>
      <c r="AH21">
        <f ca="1">AE21*2</f>
        <v>2</v>
      </c>
      <c r="AJ21">
        <f t="shared" si="2"/>
        <v>27</v>
      </c>
    </row>
    <row r="22" spans="1:36" s="84" customFormat="1" x14ac:dyDescent="0.2">
      <c r="N22" s="122" t="s">
        <v>117</v>
      </c>
      <c r="U22"/>
      <c r="AD22" s="119" t="s">
        <v>75</v>
      </c>
      <c r="AE22" s="120">
        <f ca="1" xml:space="preserve"> AE14+AE15+AE16+AE17+AE18+AE19+AE20+AE21</f>
        <v>5</v>
      </c>
      <c r="AF22" s="120">
        <f ca="1" xml:space="preserve"> AF14+AF15+AF16+AF17+AF18+AF19+AF20+AF21</f>
        <v>24</v>
      </c>
      <c r="AG22" s="120">
        <f t="shared" ref="AG22" ca="1" si="6">AE22/AF22*100</f>
        <v>20.833333333333336</v>
      </c>
      <c r="AH22" s="120">
        <f ca="1" xml:space="preserve"> AH14+AH15+AH16+AH17+AH18+AH19+AH20+AH21</f>
        <v>3.75</v>
      </c>
      <c r="AJ22">
        <f t="shared" si="2"/>
        <v>27</v>
      </c>
    </row>
    <row r="23" spans="1:36" x14ac:dyDescent="0.2">
      <c r="B23" s="1" t="s">
        <v>53</v>
      </c>
      <c r="C23" s="1" t="s">
        <v>53</v>
      </c>
      <c r="D23" s="1" t="s">
        <v>53</v>
      </c>
      <c r="E23" s="1" t="s">
        <v>53</v>
      </c>
      <c r="F23" s="1" t="s">
        <v>53</v>
      </c>
      <c r="G23" s="1" t="s">
        <v>53</v>
      </c>
      <c r="H23" s="1" t="s">
        <v>53</v>
      </c>
      <c r="I23" s="1" t="s">
        <v>53</v>
      </c>
      <c r="J23" s="1" t="s">
        <v>53</v>
      </c>
      <c r="K23" s="1" t="s">
        <v>53</v>
      </c>
      <c r="L23" s="1" t="s">
        <v>53</v>
      </c>
      <c r="M23" s="1" t="s">
        <v>53</v>
      </c>
      <c r="N23" s="1" t="s">
        <v>53</v>
      </c>
      <c r="O23" s="1" t="s">
        <v>53</v>
      </c>
      <c r="P23" s="1" t="s">
        <v>53</v>
      </c>
      <c r="Q23" s="1" t="s">
        <v>53</v>
      </c>
      <c r="R23" s="1" t="s">
        <v>53</v>
      </c>
      <c r="S23" s="1" t="s">
        <v>53</v>
      </c>
      <c r="T23" s="1" t="s">
        <v>53</v>
      </c>
      <c r="U23" s="1" t="s">
        <v>53</v>
      </c>
      <c r="V23" s="1" t="s">
        <v>53</v>
      </c>
      <c r="W23" s="1" t="s">
        <v>53</v>
      </c>
      <c r="X23" s="1" t="s">
        <v>53</v>
      </c>
      <c r="Y23" s="1" t="s">
        <v>53</v>
      </c>
      <c r="Z23" s="1" t="s">
        <v>53</v>
      </c>
      <c r="AA23" s="1" t="s">
        <v>53</v>
      </c>
      <c r="AB23" s="1" t="s">
        <v>53</v>
      </c>
      <c r="AF23" s="4"/>
      <c r="AG23" s="4"/>
      <c r="AJ23">
        <f t="shared" si="2"/>
        <v>27</v>
      </c>
    </row>
    <row r="24" spans="1:36" x14ac:dyDescent="0.2">
      <c r="A24" s="104"/>
      <c r="B24" s="4">
        <v>1999</v>
      </c>
      <c r="C24" s="4">
        <v>2000</v>
      </c>
      <c r="D24" s="4">
        <v>2001</v>
      </c>
      <c r="E24" s="4">
        <v>2002</v>
      </c>
      <c r="F24" s="4">
        <v>2003</v>
      </c>
      <c r="G24" s="4">
        <v>2004</v>
      </c>
      <c r="H24" s="4">
        <v>2005</v>
      </c>
      <c r="I24" s="4">
        <v>2006</v>
      </c>
      <c r="J24" s="4">
        <v>2007</v>
      </c>
      <c r="K24" s="4">
        <v>2008</v>
      </c>
      <c r="L24" s="4">
        <v>2009</v>
      </c>
      <c r="M24" s="4">
        <v>2010</v>
      </c>
      <c r="N24" s="4">
        <v>2011</v>
      </c>
      <c r="O24" s="4">
        <v>2012</v>
      </c>
      <c r="P24" s="4">
        <v>2013</v>
      </c>
      <c r="Q24" s="4">
        <v>2014</v>
      </c>
      <c r="R24" s="4">
        <v>2015</v>
      </c>
      <c r="S24" s="4">
        <v>2016</v>
      </c>
      <c r="T24" s="4">
        <v>2017</v>
      </c>
      <c r="U24" s="4">
        <v>2018</v>
      </c>
      <c r="V24" s="4">
        <v>2019</v>
      </c>
      <c r="W24" s="4">
        <v>2020</v>
      </c>
      <c r="X24" s="4">
        <v>2021</v>
      </c>
      <c r="Y24" s="4">
        <v>2022</v>
      </c>
      <c r="Z24" s="4">
        <v>2023</v>
      </c>
      <c r="AA24" s="4">
        <v>2024</v>
      </c>
      <c r="AB24" s="4">
        <v>2025</v>
      </c>
      <c r="AE24" t="s">
        <v>73</v>
      </c>
      <c r="AF24" s="4" t="s">
        <v>74</v>
      </c>
      <c r="AG24" s="4" t="s">
        <v>77</v>
      </c>
      <c r="AH24" t="s">
        <v>78</v>
      </c>
      <c r="AJ24">
        <f t="shared" si="2"/>
        <v>27</v>
      </c>
    </row>
    <row r="25" spans="1:36" x14ac:dyDescent="0.2">
      <c r="A25" s="104" t="s">
        <v>1</v>
      </c>
      <c r="B25" s="267">
        <v>8010000</v>
      </c>
      <c r="C25" s="267">
        <v>7510000</v>
      </c>
      <c r="D25" s="44">
        <v>410000</v>
      </c>
      <c r="E25" s="44">
        <v>512000</v>
      </c>
      <c r="F25" s="42">
        <v>6543500</v>
      </c>
      <c r="G25" s="267">
        <v>9567000</v>
      </c>
      <c r="H25" s="267">
        <v>5719500</v>
      </c>
      <c r="I25" s="267">
        <v>3924400</v>
      </c>
      <c r="J25" s="267">
        <v>2917000</v>
      </c>
      <c r="K25" s="267">
        <v>1436500</v>
      </c>
      <c r="L25" s="44">
        <v>936500</v>
      </c>
      <c r="M25" s="44">
        <v>738000</v>
      </c>
      <c r="N25" s="44">
        <v>755000</v>
      </c>
      <c r="O25" s="44">
        <v>724000</v>
      </c>
      <c r="P25" s="6"/>
      <c r="Q25" s="186"/>
      <c r="R25" s="44">
        <v>200000</v>
      </c>
      <c r="S25" s="44">
        <v>20000</v>
      </c>
      <c r="T25" s="44">
        <v>100000</v>
      </c>
      <c r="U25" s="44">
        <v>50000</v>
      </c>
      <c r="V25" s="44"/>
      <c r="W25" s="44"/>
      <c r="X25" s="44"/>
      <c r="Y25" s="233"/>
      <c r="Z25" s="233"/>
      <c r="AA25" s="233"/>
      <c r="AB25" s="265"/>
      <c r="AD25" s="104" t="s">
        <v>1</v>
      </c>
      <c r="AE25" s="9">
        <f ca="1">AnzahlBackgroundColor(B25:AB25)</f>
        <v>1</v>
      </c>
      <c r="AF25" s="16">
        <f ca="1">AJ25-AnzahlBackgroundColor(B25:AB25)</f>
        <v>8</v>
      </c>
      <c r="AG25">
        <f ca="1">AE25/AF25*100</f>
        <v>12.5</v>
      </c>
      <c r="AH25">
        <f ca="1">AE25*0.01</f>
        <v>0.01</v>
      </c>
      <c r="AJ25">
        <f t="shared" si="2"/>
        <v>27</v>
      </c>
    </row>
    <row r="26" spans="1:36" ht="16" thickBot="1" x14ac:dyDescent="0.25">
      <c r="A26" s="104" t="s">
        <v>2</v>
      </c>
      <c r="B26" s="267">
        <v>1695000</v>
      </c>
      <c r="C26" s="267">
        <v>13847000</v>
      </c>
      <c r="D26" s="44">
        <v>410000</v>
      </c>
      <c r="E26" s="44">
        <v>512000</v>
      </c>
      <c r="F26" s="42">
        <v>6543500</v>
      </c>
      <c r="G26" s="267">
        <v>7901000</v>
      </c>
      <c r="H26" s="267">
        <v>5719500</v>
      </c>
      <c r="I26" s="267">
        <v>3924400</v>
      </c>
      <c r="J26" s="267">
        <v>2917000</v>
      </c>
      <c r="K26" s="267">
        <v>1436500</v>
      </c>
      <c r="L26" s="44">
        <v>936500</v>
      </c>
      <c r="M26" s="44">
        <v>738000</v>
      </c>
      <c r="N26" s="44">
        <v>755000</v>
      </c>
      <c r="O26" s="44">
        <v>724000</v>
      </c>
      <c r="P26" s="6"/>
      <c r="Q26" s="186"/>
      <c r="R26" s="44">
        <v>200000</v>
      </c>
      <c r="S26" s="44">
        <v>20000</v>
      </c>
      <c r="T26" s="44">
        <v>100000</v>
      </c>
      <c r="U26" s="44">
        <v>50000</v>
      </c>
      <c r="V26" s="44"/>
      <c r="W26" s="44"/>
      <c r="X26" s="44"/>
      <c r="Y26" s="233"/>
      <c r="Z26" s="233"/>
      <c r="AA26" s="233"/>
      <c r="AB26" s="265"/>
      <c r="AD26" s="104" t="s">
        <v>2</v>
      </c>
      <c r="AE26" s="9">
        <f ca="1">AnzahlBackgroundColor(B26:AB26)</f>
        <v>1</v>
      </c>
      <c r="AF26" s="16">
        <f t="shared" ref="AF26:AF32" ca="1" si="7">AJ26-AnzahlBackgroundColor(B26:AB26)</f>
        <v>8</v>
      </c>
      <c r="AG26">
        <f t="shared" ref="AG26:AG31" ca="1" si="8">AE26/AF26*100</f>
        <v>12.5</v>
      </c>
      <c r="AH26">
        <f ca="1">AE26*0.02</f>
        <v>0.02</v>
      </c>
      <c r="AJ26">
        <f t="shared" si="2"/>
        <v>27</v>
      </c>
    </row>
    <row r="27" spans="1:36" ht="16" thickBot="1" x14ac:dyDescent="0.25">
      <c r="A27" s="104" t="s">
        <v>3</v>
      </c>
      <c r="B27" s="42">
        <v>63290000</v>
      </c>
      <c r="C27" s="42">
        <v>56570000</v>
      </c>
      <c r="D27" s="42">
        <v>213666000</v>
      </c>
      <c r="E27" s="42">
        <v>101677000</v>
      </c>
      <c r="F27" s="44">
        <v>543500</v>
      </c>
      <c r="G27" s="267">
        <v>506000</v>
      </c>
      <c r="H27" s="267">
        <v>719500</v>
      </c>
      <c r="I27" s="267">
        <v>924400</v>
      </c>
      <c r="J27" s="267">
        <v>917000</v>
      </c>
      <c r="K27" s="267">
        <v>936500</v>
      </c>
      <c r="L27" s="44">
        <v>936500</v>
      </c>
      <c r="M27" s="44">
        <v>738000</v>
      </c>
      <c r="N27" s="219">
        <v>755000</v>
      </c>
      <c r="O27" s="44">
        <v>724000</v>
      </c>
      <c r="P27" s="6"/>
      <c r="Q27" s="43">
        <v>13700000</v>
      </c>
      <c r="R27" s="44">
        <v>200000</v>
      </c>
      <c r="S27" s="44">
        <v>20000</v>
      </c>
      <c r="T27" s="205">
        <v>10180000</v>
      </c>
      <c r="U27" s="44">
        <v>50000</v>
      </c>
      <c r="V27" s="205">
        <v>7980000</v>
      </c>
      <c r="W27" s="44"/>
      <c r="X27" s="44"/>
      <c r="Y27" s="233"/>
      <c r="Z27" s="233"/>
      <c r="AA27" s="233"/>
      <c r="AB27" s="265"/>
      <c r="AD27" s="104" t="s">
        <v>3</v>
      </c>
      <c r="AE27" s="9">
        <f ca="1">AnzahlBackgroundColor(B27:AB27)</f>
        <v>5</v>
      </c>
      <c r="AF27" s="16">
        <f t="shared" ca="1" si="7"/>
        <v>8</v>
      </c>
      <c r="AG27">
        <f t="shared" ca="1" si="8"/>
        <v>62.5</v>
      </c>
      <c r="AH27">
        <f ca="1">AE27*0.05</f>
        <v>0.25</v>
      </c>
      <c r="AJ27">
        <f t="shared" si="2"/>
        <v>27</v>
      </c>
    </row>
    <row r="28" spans="1:36" ht="16" thickBot="1" x14ac:dyDescent="0.25">
      <c r="A28" s="104" t="s">
        <v>4</v>
      </c>
      <c r="B28" s="42">
        <v>133430000</v>
      </c>
      <c r="C28" s="42">
        <v>167359000</v>
      </c>
      <c r="D28" s="43">
        <v>14640000</v>
      </c>
      <c r="E28" s="43">
        <v>1352000</v>
      </c>
      <c r="F28" s="214">
        <v>543500</v>
      </c>
      <c r="G28" s="44">
        <v>506000</v>
      </c>
      <c r="H28" s="44">
        <v>719500</v>
      </c>
      <c r="I28" s="44">
        <v>924400</v>
      </c>
      <c r="J28" s="44">
        <v>917000</v>
      </c>
      <c r="K28" s="44">
        <v>936500</v>
      </c>
      <c r="L28" s="44">
        <v>936500</v>
      </c>
      <c r="M28" s="44">
        <v>738000</v>
      </c>
      <c r="N28" s="44">
        <v>755000</v>
      </c>
      <c r="O28" s="42">
        <v>10724000</v>
      </c>
      <c r="P28" s="6"/>
      <c r="Q28" s="207"/>
      <c r="R28" s="266">
        <v>10200000</v>
      </c>
      <c r="S28" s="44">
        <v>20000</v>
      </c>
      <c r="T28" s="44">
        <v>100000</v>
      </c>
      <c r="U28" s="44">
        <v>50000</v>
      </c>
      <c r="V28" s="44"/>
      <c r="W28" s="44"/>
      <c r="X28" s="44"/>
      <c r="Y28" s="233"/>
      <c r="Z28" s="233"/>
      <c r="AA28" s="233"/>
      <c r="AB28" s="265"/>
      <c r="AD28" s="104" t="s">
        <v>4</v>
      </c>
      <c r="AE28" s="9">
        <f ca="1">AnzahlBackgroundColor(B28:AB28)</f>
        <v>3</v>
      </c>
      <c r="AF28" s="16">
        <f t="shared" ca="1" si="7"/>
        <v>6</v>
      </c>
      <c r="AG28">
        <f t="shared" ca="1" si="8"/>
        <v>50</v>
      </c>
      <c r="AH28">
        <f ca="1">AE28*0.1</f>
        <v>0.30000000000000004</v>
      </c>
      <c r="AJ28">
        <f t="shared" si="2"/>
        <v>27</v>
      </c>
    </row>
    <row r="29" spans="1:36" ht="16" thickBot="1" x14ac:dyDescent="0.25">
      <c r="A29" s="104" t="s">
        <v>5</v>
      </c>
      <c r="B29" s="42">
        <v>42260000</v>
      </c>
      <c r="C29" s="44">
        <v>410000</v>
      </c>
      <c r="D29" s="42">
        <v>121673000</v>
      </c>
      <c r="E29" s="216">
        <v>100612000</v>
      </c>
      <c r="F29" s="219">
        <v>500000</v>
      </c>
      <c r="G29" s="110">
        <v>506000</v>
      </c>
      <c r="H29" s="44">
        <v>719500</v>
      </c>
      <c r="I29" s="44">
        <v>924400</v>
      </c>
      <c r="J29" s="44">
        <v>917000</v>
      </c>
      <c r="K29" s="44">
        <v>936500</v>
      </c>
      <c r="L29" s="44">
        <v>936500</v>
      </c>
      <c r="M29" s="44">
        <v>738000</v>
      </c>
      <c r="N29" s="42">
        <v>8755000</v>
      </c>
      <c r="O29" s="43">
        <v>10724000</v>
      </c>
      <c r="P29" s="6"/>
      <c r="Q29" s="6"/>
      <c r="R29" s="266">
        <v>10200000</v>
      </c>
      <c r="S29" s="44">
        <v>20000</v>
      </c>
      <c r="T29" s="44">
        <v>100000</v>
      </c>
      <c r="U29" s="44">
        <v>50000</v>
      </c>
      <c r="V29" s="44"/>
      <c r="W29" s="44"/>
      <c r="X29" s="44"/>
      <c r="Y29" s="233"/>
      <c r="Z29" s="233"/>
      <c r="AA29" s="233"/>
      <c r="AB29" s="265"/>
      <c r="AD29" s="104" t="s">
        <v>5</v>
      </c>
      <c r="AE29" s="9">
        <f ca="1">AnzahlBackgroundColor(B29:AB29)</f>
        <v>5</v>
      </c>
      <c r="AF29" s="16">
        <f t="shared" ca="1" si="7"/>
        <v>7</v>
      </c>
      <c r="AG29">
        <f t="shared" ca="1" si="8"/>
        <v>71.428571428571431</v>
      </c>
      <c r="AH29">
        <f ca="1">AE29*0.2</f>
        <v>1</v>
      </c>
      <c r="AJ29">
        <f t="shared" si="2"/>
        <v>27</v>
      </c>
    </row>
    <row r="30" spans="1:36" ht="16" thickBot="1" x14ac:dyDescent="0.25">
      <c r="A30" s="104" t="s">
        <v>6</v>
      </c>
      <c r="B30" s="42">
        <v>20606000</v>
      </c>
      <c r="C30" s="42">
        <v>67007000</v>
      </c>
      <c r="D30" s="43">
        <v>4342000</v>
      </c>
      <c r="E30" s="217">
        <v>1000000</v>
      </c>
      <c r="F30" s="219">
        <v>500000</v>
      </c>
      <c r="G30" s="110">
        <v>506000</v>
      </c>
      <c r="H30" s="42">
        <v>4719500</v>
      </c>
      <c r="I30" s="43">
        <v>6774400</v>
      </c>
      <c r="J30" s="44">
        <v>917000</v>
      </c>
      <c r="K30" s="42">
        <v>7936500</v>
      </c>
      <c r="L30" s="43">
        <v>6936500</v>
      </c>
      <c r="M30" s="44">
        <v>738000</v>
      </c>
      <c r="N30" s="43">
        <v>3755000</v>
      </c>
      <c r="O30" s="43">
        <v>4724000</v>
      </c>
      <c r="P30" s="6"/>
      <c r="Q30" s="6"/>
      <c r="R30" s="44">
        <v>200000</v>
      </c>
      <c r="S30" s="44">
        <v>20000</v>
      </c>
      <c r="T30" s="44">
        <v>100000</v>
      </c>
      <c r="U30" s="44">
        <v>50000</v>
      </c>
      <c r="V30" s="44"/>
      <c r="W30" s="44"/>
      <c r="X30" s="44"/>
      <c r="Y30" s="233"/>
      <c r="Z30" s="233"/>
      <c r="AA30" s="233"/>
      <c r="AB30" s="265"/>
      <c r="AD30" s="104" t="s">
        <v>6</v>
      </c>
      <c r="AE30" s="9">
        <f ca="1">AnzahlBackgroundColor(B30:AB30)</f>
        <v>5</v>
      </c>
      <c r="AF30" s="16">
        <f t="shared" ca="1" si="7"/>
        <v>11</v>
      </c>
      <c r="AG30">
        <f t="shared" ca="1" si="8"/>
        <v>45.454545454545453</v>
      </c>
      <c r="AH30">
        <f ca="1">AE30*0.5</f>
        <v>2.5</v>
      </c>
      <c r="AJ30">
        <f t="shared" si="2"/>
        <v>27</v>
      </c>
    </row>
    <row r="31" spans="1:36" x14ac:dyDescent="0.2">
      <c r="A31" s="104" t="s">
        <v>7</v>
      </c>
      <c r="B31" s="42">
        <v>16120000</v>
      </c>
      <c r="C31" s="42">
        <v>36549000</v>
      </c>
      <c r="D31" s="42">
        <v>13772000</v>
      </c>
      <c r="E31" s="42">
        <v>13967000</v>
      </c>
      <c r="F31" s="218">
        <v>543500</v>
      </c>
      <c r="G31" s="43">
        <v>5406000</v>
      </c>
      <c r="H31" s="42">
        <v>7854500</v>
      </c>
      <c r="I31" s="42">
        <v>1629400</v>
      </c>
      <c r="J31" s="44">
        <v>917000</v>
      </c>
      <c r="K31" s="44">
        <v>936500</v>
      </c>
      <c r="L31" s="44">
        <v>936500</v>
      </c>
      <c r="M31" s="44">
        <v>738000</v>
      </c>
      <c r="N31" s="44">
        <v>755000</v>
      </c>
      <c r="O31" s="44">
        <v>724000</v>
      </c>
      <c r="P31" s="6"/>
      <c r="Q31" s="6"/>
      <c r="R31" s="44">
        <v>20000</v>
      </c>
      <c r="S31" s="44">
        <v>20000</v>
      </c>
      <c r="T31" s="44">
        <v>100000</v>
      </c>
      <c r="U31" s="44">
        <v>50000</v>
      </c>
      <c r="V31" s="44"/>
      <c r="W31" s="44"/>
      <c r="X31" s="44"/>
      <c r="Y31" s="233"/>
      <c r="Z31" s="233"/>
      <c r="AA31" s="233"/>
      <c r="AB31" s="265"/>
      <c r="AD31" s="104" t="s">
        <v>7</v>
      </c>
      <c r="AE31" s="9">
        <f ca="1">AnzahlBackgroundColor(B31:AB31)</f>
        <v>6</v>
      </c>
      <c r="AF31" s="16">
        <f t="shared" ca="1" si="7"/>
        <v>7</v>
      </c>
      <c r="AG31">
        <f t="shared" ca="1" si="8"/>
        <v>85.714285714285708</v>
      </c>
      <c r="AH31">
        <f ca="1">AE31*1</f>
        <v>6</v>
      </c>
      <c r="AJ31">
        <f t="shared" si="2"/>
        <v>27</v>
      </c>
    </row>
    <row r="32" spans="1:36" x14ac:dyDescent="0.2">
      <c r="A32" s="104" t="s">
        <v>8</v>
      </c>
      <c r="B32" s="42">
        <v>16000000</v>
      </c>
      <c r="C32" s="42">
        <v>8590000</v>
      </c>
      <c r="D32" s="42">
        <v>29042000</v>
      </c>
      <c r="E32" s="43">
        <v>1239000</v>
      </c>
      <c r="F32" s="42">
        <v>8833500</v>
      </c>
      <c r="G32" s="42">
        <v>8960000</v>
      </c>
      <c r="H32" s="42">
        <v>8720500</v>
      </c>
      <c r="I32" s="43">
        <v>8424400</v>
      </c>
      <c r="J32" s="42">
        <v>5137000</v>
      </c>
      <c r="K32" s="43">
        <v>8236500</v>
      </c>
      <c r="L32" s="42">
        <v>6256500</v>
      </c>
      <c r="M32" s="42">
        <v>3938000</v>
      </c>
      <c r="N32" s="42">
        <v>5155000</v>
      </c>
      <c r="O32" s="42">
        <v>3234000</v>
      </c>
      <c r="P32" s="6"/>
      <c r="Q32" s="6"/>
      <c r="R32" s="44">
        <v>200000</v>
      </c>
      <c r="S32" s="44">
        <v>20000</v>
      </c>
      <c r="T32" s="44">
        <v>100000</v>
      </c>
      <c r="U32" s="205">
        <v>2050000</v>
      </c>
      <c r="V32" s="205">
        <v>5970000</v>
      </c>
      <c r="W32" s="44"/>
      <c r="X32" s="44"/>
      <c r="Y32" s="233"/>
      <c r="Z32" s="233"/>
      <c r="AA32" s="233"/>
      <c r="AB32" s="265"/>
      <c r="AC32" s="1"/>
      <c r="AD32" s="104" t="s">
        <v>8</v>
      </c>
      <c r="AE32" s="9">
        <f ca="1">AnzahlBackgroundColor(B32:AB32)</f>
        <v>11</v>
      </c>
      <c r="AF32" s="16">
        <f t="shared" ca="1" si="7"/>
        <v>16</v>
      </c>
      <c r="AG32">
        <f ca="1">AE32/AF32*100</f>
        <v>68.75</v>
      </c>
      <c r="AH32">
        <f ca="1">AE32*2</f>
        <v>22</v>
      </c>
      <c r="AJ32">
        <f t="shared" si="2"/>
        <v>27</v>
      </c>
    </row>
    <row r="33" spans="1:43" x14ac:dyDescent="0.2">
      <c r="B33" s="121" t="s">
        <v>116</v>
      </c>
      <c r="AC33" s="4"/>
      <c r="AD33" s="104" t="s">
        <v>75</v>
      </c>
      <c r="AE33" s="19">
        <f ca="1" xml:space="preserve"> AE25+AE26+AE27+AE28+AE29+AE30+AE31+AE32</f>
        <v>37</v>
      </c>
      <c r="AF33" s="19">
        <f ca="1" xml:space="preserve"> AF25+AF26+AF27+AF28+AF29+AF30+AF31+AF32</f>
        <v>71</v>
      </c>
      <c r="AG33" s="19">
        <f t="shared" ref="AG33" ca="1" si="9">AE33/AF33*100</f>
        <v>52.112676056338024</v>
      </c>
      <c r="AH33" s="19">
        <f ca="1" xml:space="preserve"> AH25+AH26+AH27+AH28+AH29+AH30+AH31+AH32</f>
        <v>32.08</v>
      </c>
      <c r="AI33" s="4"/>
      <c r="AJ33">
        <f t="shared" si="2"/>
        <v>27</v>
      </c>
      <c r="AK33" s="4"/>
      <c r="AL33" s="4"/>
      <c r="AM33" s="4"/>
      <c r="AN33" s="4"/>
      <c r="AO33" s="4"/>
      <c r="AP33" s="4"/>
      <c r="AQ33" s="4"/>
    </row>
    <row r="34" spans="1:43" x14ac:dyDescent="0.2">
      <c r="B34" s="1" t="s">
        <v>37</v>
      </c>
      <c r="C34" s="1" t="s">
        <v>37</v>
      </c>
      <c r="D34" s="1" t="s">
        <v>37</v>
      </c>
      <c r="E34" s="1" t="s">
        <v>37</v>
      </c>
      <c r="F34" s="1" t="s">
        <v>37</v>
      </c>
      <c r="G34" s="1" t="s">
        <v>37</v>
      </c>
      <c r="H34" s="1" t="s">
        <v>37</v>
      </c>
      <c r="I34" s="1" t="s">
        <v>37</v>
      </c>
      <c r="J34" s="1" t="s">
        <v>37</v>
      </c>
      <c r="K34" s="1" t="s">
        <v>37</v>
      </c>
      <c r="L34" s="1" t="s">
        <v>37</v>
      </c>
      <c r="M34" s="1" t="s">
        <v>37</v>
      </c>
      <c r="N34" s="1" t="s">
        <v>37</v>
      </c>
      <c r="O34" s="1" t="s">
        <v>37</v>
      </c>
      <c r="P34" s="1" t="s">
        <v>37</v>
      </c>
      <c r="Q34" s="1" t="s">
        <v>37</v>
      </c>
      <c r="R34" s="1" t="s">
        <v>37</v>
      </c>
      <c r="S34" s="1" t="s">
        <v>37</v>
      </c>
      <c r="T34" s="1" t="s">
        <v>37</v>
      </c>
      <c r="U34" s="1" t="s">
        <v>37</v>
      </c>
      <c r="V34" s="1" t="s">
        <v>37</v>
      </c>
      <c r="W34" s="1" t="s">
        <v>37</v>
      </c>
      <c r="X34" s="1" t="s">
        <v>37</v>
      </c>
      <c r="Y34" s="1" t="s">
        <v>37</v>
      </c>
      <c r="Z34" s="1" t="s">
        <v>37</v>
      </c>
      <c r="AA34" s="1" t="s">
        <v>37</v>
      </c>
      <c r="AB34" s="1" t="s">
        <v>37</v>
      </c>
      <c r="AF34" s="4"/>
      <c r="AG34" s="4"/>
      <c r="AJ34">
        <f t="shared" si="2"/>
        <v>27</v>
      </c>
    </row>
    <row r="35" spans="1:43" x14ac:dyDescent="0.2">
      <c r="B35" s="4">
        <v>1999</v>
      </c>
      <c r="C35" s="4">
        <v>2000</v>
      </c>
      <c r="D35" s="4">
        <v>2001</v>
      </c>
      <c r="E35" s="4">
        <v>2002</v>
      </c>
      <c r="F35" s="4">
        <v>2003</v>
      </c>
      <c r="G35" s="4">
        <v>2004</v>
      </c>
      <c r="H35" s="4">
        <v>2005</v>
      </c>
      <c r="I35" s="4">
        <v>2006</v>
      </c>
      <c r="J35" s="4">
        <v>2007</v>
      </c>
      <c r="K35" s="4">
        <v>2008</v>
      </c>
      <c r="L35" s="4">
        <v>2009</v>
      </c>
      <c r="M35" s="4">
        <v>2010</v>
      </c>
      <c r="N35" s="4">
        <v>2011</v>
      </c>
      <c r="O35" s="4">
        <v>2012</v>
      </c>
      <c r="P35" s="4">
        <v>2013</v>
      </c>
      <c r="Q35" s="4">
        <v>2014</v>
      </c>
      <c r="R35" s="4">
        <v>2015</v>
      </c>
      <c r="S35" s="4">
        <v>2016</v>
      </c>
      <c r="T35" s="4">
        <v>2017</v>
      </c>
      <c r="U35" s="4">
        <v>2018</v>
      </c>
      <c r="V35" s="4">
        <v>2019</v>
      </c>
      <c r="W35" s="4">
        <v>2020</v>
      </c>
      <c r="X35" s="4">
        <v>2021</v>
      </c>
      <c r="Y35" s="4">
        <v>2022</v>
      </c>
      <c r="Z35" s="4">
        <v>2023</v>
      </c>
      <c r="AA35" s="4">
        <v>2024</v>
      </c>
      <c r="AB35" s="4">
        <v>2025</v>
      </c>
      <c r="AE35" t="s">
        <v>73</v>
      </c>
      <c r="AF35" s="4" t="s">
        <v>74</v>
      </c>
      <c r="AG35" s="4" t="s">
        <v>77</v>
      </c>
      <c r="AH35" t="s">
        <v>78</v>
      </c>
      <c r="AJ35">
        <f t="shared" si="2"/>
        <v>27</v>
      </c>
    </row>
    <row r="36" spans="1:43" x14ac:dyDescent="0.2">
      <c r="A36" s="104" t="s">
        <v>1</v>
      </c>
      <c r="B36" s="42">
        <v>794016000</v>
      </c>
      <c r="C36" s="42">
        <v>605232000</v>
      </c>
      <c r="D36" s="43">
        <v>300646580</v>
      </c>
      <c r="E36" s="44">
        <v>110000</v>
      </c>
      <c r="F36" s="43">
        <v>160017000</v>
      </c>
      <c r="G36" s="42">
        <v>400032000</v>
      </c>
      <c r="H36" s="43">
        <v>240206000</v>
      </c>
      <c r="I36" s="43">
        <v>343010000</v>
      </c>
      <c r="J36" s="42">
        <v>320142000</v>
      </c>
      <c r="K36" s="43">
        <v>462673100</v>
      </c>
      <c r="L36" s="42">
        <v>437320000</v>
      </c>
      <c r="M36" s="42">
        <v>336000000</v>
      </c>
      <c r="N36" s="42">
        <v>320118000</v>
      </c>
      <c r="O36" s="42">
        <v>358566000</v>
      </c>
      <c r="P36" s="42">
        <v>282900000</v>
      </c>
      <c r="Q36" s="42">
        <v>365000000</v>
      </c>
      <c r="R36" s="42">
        <v>287000000</v>
      </c>
      <c r="S36" s="42">
        <v>294000000</v>
      </c>
      <c r="T36" s="43">
        <v>270000000</v>
      </c>
      <c r="U36" s="43">
        <v>207000000</v>
      </c>
      <c r="V36" s="43">
        <v>176762000</v>
      </c>
      <c r="W36" s="42"/>
      <c r="X36" s="44"/>
      <c r="Y36" s="43"/>
      <c r="Z36" s="233"/>
      <c r="AA36" s="233"/>
      <c r="AB36" s="265"/>
      <c r="AD36" s="104" t="s">
        <v>1</v>
      </c>
      <c r="AE36" s="9">
        <f ca="1">AnzahlBackgroundColor(B36:AB36)</f>
        <v>13</v>
      </c>
      <c r="AF36" s="16">
        <f ca="1">AJ36-AnzahlBackgroundColor(B36:AB36)</f>
        <v>22</v>
      </c>
      <c r="AG36">
        <f ca="1">AE36/AF36*100</f>
        <v>59.090909090909093</v>
      </c>
      <c r="AH36">
        <f ca="1">AE36*0.01</f>
        <v>0.13</v>
      </c>
      <c r="AJ36">
        <f t="shared" si="2"/>
        <v>27</v>
      </c>
    </row>
    <row r="37" spans="1:43" x14ac:dyDescent="0.2">
      <c r="A37" s="104" t="s">
        <v>2</v>
      </c>
      <c r="B37" s="42">
        <v>702069000</v>
      </c>
      <c r="C37" s="43">
        <v>510120000</v>
      </c>
      <c r="D37" s="42">
        <v>249066580</v>
      </c>
      <c r="E37" s="44">
        <v>9000</v>
      </c>
      <c r="F37" s="42">
        <v>160389000</v>
      </c>
      <c r="G37" s="42">
        <v>300024000</v>
      </c>
      <c r="H37" s="43">
        <v>260187000</v>
      </c>
      <c r="I37" s="42">
        <v>283177500</v>
      </c>
      <c r="J37" s="43">
        <v>213222000</v>
      </c>
      <c r="K37" s="42">
        <v>386532000</v>
      </c>
      <c r="L37" s="43">
        <v>343120000</v>
      </c>
      <c r="M37" s="42">
        <v>277000000</v>
      </c>
      <c r="N37" s="42">
        <v>250128000</v>
      </c>
      <c r="O37" s="42">
        <v>276800000</v>
      </c>
      <c r="P37" s="43">
        <v>220600000</v>
      </c>
      <c r="Q37" s="42">
        <v>209900000</v>
      </c>
      <c r="R37" s="42">
        <v>199000000</v>
      </c>
      <c r="S37" s="42">
        <v>192000000</v>
      </c>
      <c r="T37" s="42">
        <v>200000000</v>
      </c>
      <c r="U37" s="43">
        <v>142600000</v>
      </c>
      <c r="V37" s="43">
        <v>161280000</v>
      </c>
      <c r="W37" s="44"/>
      <c r="X37" s="42"/>
      <c r="Y37" s="43"/>
      <c r="Z37" s="233"/>
      <c r="AA37" s="233"/>
      <c r="AB37" s="265"/>
      <c r="AD37" s="104" t="s">
        <v>2</v>
      </c>
      <c r="AE37" s="9">
        <f ca="1">AnzahlBackgroundColor(B37:AB37)</f>
        <v>14</v>
      </c>
      <c r="AF37" s="16">
        <f t="shared" ref="AF37:AF43" ca="1" si="10">AJ37-AnzahlBackgroundColor(B37:AB37)</f>
        <v>22</v>
      </c>
      <c r="AG37">
        <f t="shared" ref="AG37:AG42" ca="1" si="11">AE37/AF37*100</f>
        <v>63.636363636363633</v>
      </c>
      <c r="AH37">
        <f ca="1">AE37*0.02</f>
        <v>0.28000000000000003</v>
      </c>
      <c r="AJ37">
        <f t="shared" si="2"/>
        <v>27</v>
      </c>
    </row>
    <row r="38" spans="1:43" x14ac:dyDescent="0.2">
      <c r="A38" s="104" t="s">
        <v>3</v>
      </c>
      <c r="B38" s="42">
        <v>616192000</v>
      </c>
      <c r="C38" s="42">
        <v>280064000</v>
      </c>
      <c r="D38" s="42">
        <v>217289477</v>
      </c>
      <c r="E38" s="42">
        <v>186283000</v>
      </c>
      <c r="F38" s="42">
        <v>100977000</v>
      </c>
      <c r="G38" s="42">
        <v>60162000</v>
      </c>
      <c r="H38" s="43">
        <v>20174000</v>
      </c>
      <c r="I38" s="42">
        <v>132049000</v>
      </c>
      <c r="J38" s="42">
        <v>130062000</v>
      </c>
      <c r="K38" s="42">
        <v>218232000</v>
      </c>
      <c r="L38" s="42">
        <v>184710000</v>
      </c>
      <c r="M38" s="42">
        <v>184000000</v>
      </c>
      <c r="N38" s="42">
        <v>144900000</v>
      </c>
      <c r="O38" s="42">
        <v>139104000</v>
      </c>
      <c r="P38" s="42">
        <v>147200000</v>
      </c>
      <c r="Q38" s="43">
        <v>130000000</v>
      </c>
      <c r="R38" s="42">
        <v>97000000</v>
      </c>
      <c r="S38" s="42">
        <v>142000000</v>
      </c>
      <c r="T38" s="43">
        <v>130000000</v>
      </c>
      <c r="U38" s="43">
        <v>75600000</v>
      </c>
      <c r="V38" s="43">
        <v>105930000</v>
      </c>
      <c r="W38" s="44"/>
      <c r="X38" s="42"/>
      <c r="Y38" s="42"/>
      <c r="Z38" s="233"/>
      <c r="AA38" s="233"/>
      <c r="AB38" s="265"/>
      <c r="AD38" s="104" t="s">
        <v>3</v>
      </c>
      <c r="AE38" s="9">
        <f ca="1">AnzahlBackgroundColor(B38:AB38)</f>
        <v>18</v>
      </c>
      <c r="AF38" s="16">
        <f t="shared" ca="1" si="10"/>
        <v>23</v>
      </c>
      <c r="AG38">
        <f t="shared" ca="1" si="11"/>
        <v>78.260869565217391</v>
      </c>
      <c r="AH38">
        <f ca="1">AE38*0.05</f>
        <v>0.9</v>
      </c>
      <c r="AJ38">
        <f t="shared" si="2"/>
        <v>27</v>
      </c>
    </row>
    <row r="39" spans="1:43" x14ac:dyDescent="0.2">
      <c r="A39" s="104" t="s">
        <v>4</v>
      </c>
      <c r="B39" s="42">
        <v>447249600</v>
      </c>
      <c r="C39" s="42">
        <v>297432000</v>
      </c>
      <c r="D39" s="42">
        <v>144478261</v>
      </c>
      <c r="E39" s="42">
        <v>206646000</v>
      </c>
      <c r="F39" s="42">
        <v>180717000</v>
      </c>
      <c r="G39" s="44" t="s">
        <v>102</v>
      </c>
      <c r="H39" s="42">
        <v>45045650</v>
      </c>
      <c r="I39" s="42">
        <v>60223000</v>
      </c>
      <c r="J39" s="42">
        <v>90095800</v>
      </c>
      <c r="K39" s="42">
        <v>178706400</v>
      </c>
      <c r="L39" s="42">
        <v>142710000</v>
      </c>
      <c r="M39" s="42">
        <v>76000000</v>
      </c>
      <c r="N39" s="42">
        <v>99878000</v>
      </c>
      <c r="O39" s="42">
        <v>77357000</v>
      </c>
      <c r="P39" s="42">
        <v>139800000</v>
      </c>
      <c r="Q39" s="42">
        <v>35000000</v>
      </c>
      <c r="R39" s="43">
        <v>70000000</v>
      </c>
      <c r="S39" s="42">
        <v>116000000</v>
      </c>
      <c r="T39" s="42">
        <v>90000000</v>
      </c>
      <c r="U39" s="42">
        <v>99300000</v>
      </c>
      <c r="V39" s="42">
        <v>77011000</v>
      </c>
      <c r="W39" s="42"/>
      <c r="X39" s="42"/>
      <c r="Y39" s="43"/>
      <c r="Z39" s="233"/>
      <c r="AA39" s="233"/>
      <c r="AB39" s="265"/>
      <c r="AD39" s="104" t="s">
        <v>4</v>
      </c>
      <c r="AE39" s="9">
        <f ca="1">AnzahlBackgroundColor(B39:AB39)</f>
        <v>21</v>
      </c>
      <c r="AF39" s="16">
        <f t="shared" ca="1" si="10"/>
        <v>23</v>
      </c>
      <c r="AG39">
        <f t="shared" ca="1" si="11"/>
        <v>91.304347826086953</v>
      </c>
      <c r="AH39">
        <f ca="1">AE39*0.1</f>
        <v>2.1</v>
      </c>
      <c r="AJ39">
        <f t="shared" si="2"/>
        <v>27</v>
      </c>
    </row>
    <row r="40" spans="1:43" x14ac:dyDescent="0.2">
      <c r="A40" s="104" t="s">
        <v>5</v>
      </c>
      <c r="B40" s="42">
        <v>454291200</v>
      </c>
      <c r="C40" s="42">
        <v>148953600</v>
      </c>
      <c r="D40" s="42">
        <v>256307108</v>
      </c>
      <c r="E40" s="42">
        <v>191996000</v>
      </c>
      <c r="F40" s="44" t="s">
        <v>102</v>
      </c>
      <c r="G40" s="44" t="s">
        <v>102</v>
      </c>
      <c r="H40" s="44" t="s">
        <v>102</v>
      </c>
      <c r="I40" s="44" t="s">
        <v>102</v>
      </c>
      <c r="J40" s="43">
        <v>40157600</v>
      </c>
      <c r="K40" s="42">
        <v>25537600</v>
      </c>
      <c r="L40" s="42">
        <v>82660000</v>
      </c>
      <c r="M40" s="43">
        <v>108000000</v>
      </c>
      <c r="N40" s="42">
        <v>54936000</v>
      </c>
      <c r="O40" s="44" t="s">
        <v>102</v>
      </c>
      <c r="P40" s="42">
        <v>27000000</v>
      </c>
      <c r="Q40" s="42">
        <v>45000000</v>
      </c>
      <c r="R40" s="42">
        <v>27000000</v>
      </c>
      <c r="S40" s="44">
        <v>28500</v>
      </c>
      <c r="T40" s="43">
        <v>13000000</v>
      </c>
      <c r="U40" s="42">
        <v>79800000</v>
      </c>
      <c r="V40" s="42">
        <v>60825000</v>
      </c>
      <c r="W40" s="42"/>
      <c r="X40" s="42"/>
      <c r="Y40" s="43"/>
      <c r="Z40" s="233"/>
      <c r="AA40" s="233"/>
      <c r="AB40" s="265"/>
      <c r="AD40" s="104" t="s">
        <v>5</v>
      </c>
      <c r="AE40" s="9">
        <f ca="1">AnzahlBackgroundColor(B40:AB40)</f>
        <v>14</v>
      </c>
      <c r="AF40" s="16">
        <f t="shared" ca="1" si="10"/>
        <v>18</v>
      </c>
      <c r="AG40">
        <f t="shared" ca="1" si="11"/>
        <v>77.777777777777786</v>
      </c>
      <c r="AH40">
        <f ca="1">AE40*0.2</f>
        <v>2.8000000000000003</v>
      </c>
      <c r="AJ40">
        <f t="shared" si="2"/>
        <v>27</v>
      </c>
    </row>
    <row r="41" spans="1:43" x14ac:dyDescent="0.2">
      <c r="A41" s="104" t="s">
        <v>6</v>
      </c>
      <c r="B41" s="42">
        <v>105753600</v>
      </c>
      <c r="C41" s="42">
        <v>179496000</v>
      </c>
      <c r="D41" s="42">
        <v>276252274</v>
      </c>
      <c r="E41" s="43">
        <v>226384000</v>
      </c>
      <c r="F41" s="44" t="s">
        <v>102</v>
      </c>
      <c r="G41" s="44" t="s">
        <v>102</v>
      </c>
      <c r="H41" s="44" t="s">
        <v>102</v>
      </c>
      <c r="I41" s="44" t="s">
        <v>102</v>
      </c>
      <c r="J41" s="44" t="s">
        <v>102</v>
      </c>
      <c r="K41" s="44" t="s">
        <v>102</v>
      </c>
      <c r="L41" s="44" t="s">
        <v>102</v>
      </c>
      <c r="M41" s="44" t="s">
        <v>102</v>
      </c>
      <c r="N41" s="44" t="s">
        <v>102</v>
      </c>
      <c r="O41" s="44" t="s">
        <v>102</v>
      </c>
      <c r="P41" s="208"/>
      <c r="Q41" s="6"/>
      <c r="R41" s="6"/>
      <c r="S41" s="6">
        <v>28500</v>
      </c>
      <c r="T41" s="6">
        <v>28000</v>
      </c>
      <c r="U41" s="42">
        <v>26900000</v>
      </c>
      <c r="V41" s="43">
        <v>17760000</v>
      </c>
      <c r="W41" s="249"/>
      <c r="X41" s="249"/>
      <c r="Y41" s="88"/>
      <c r="Z41" s="233"/>
      <c r="AA41" s="233"/>
      <c r="AB41" s="265"/>
      <c r="AD41" s="104" t="s">
        <v>6</v>
      </c>
      <c r="AE41" s="9">
        <f ca="1">AnzahlBackgroundColor(B41:AB41)</f>
        <v>6</v>
      </c>
      <c r="AF41" s="16">
        <f t="shared" ca="1" si="10"/>
        <v>9</v>
      </c>
      <c r="AG41">
        <f t="shared" ca="1" si="11"/>
        <v>66.666666666666657</v>
      </c>
      <c r="AH41">
        <f ca="1">AE41*0.5</f>
        <v>3</v>
      </c>
      <c r="AJ41">
        <f t="shared" si="2"/>
        <v>27</v>
      </c>
    </row>
    <row r="42" spans="1:43" x14ac:dyDescent="0.2">
      <c r="A42" s="104" t="s">
        <v>7</v>
      </c>
      <c r="B42" s="42">
        <v>301050000</v>
      </c>
      <c r="C42" s="42">
        <v>297270000</v>
      </c>
      <c r="D42" s="42">
        <v>150216624</v>
      </c>
      <c r="E42" s="42">
        <v>129324000</v>
      </c>
      <c r="F42" s="44" t="s">
        <v>102</v>
      </c>
      <c r="G42" s="44" t="s">
        <v>102</v>
      </c>
      <c r="H42" s="44" t="s">
        <v>102</v>
      </c>
      <c r="I42" s="44" t="s">
        <v>102</v>
      </c>
      <c r="J42" s="44" t="s">
        <v>102</v>
      </c>
      <c r="K42" s="44" t="s">
        <v>102</v>
      </c>
      <c r="L42" s="44" t="s">
        <v>102</v>
      </c>
      <c r="M42" s="44" t="s">
        <v>102</v>
      </c>
      <c r="N42" s="44" t="s">
        <v>102</v>
      </c>
      <c r="O42" s="44" t="s">
        <v>102</v>
      </c>
      <c r="P42" s="208"/>
      <c r="Q42" s="6"/>
      <c r="R42" s="6"/>
      <c r="S42" s="6">
        <v>28500</v>
      </c>
      <c r="T42" s="6">
        <v>28000</v>
      </c>
      <c r="U42" s="44">
        <v>28500</v>
      </c>
      <c r="V42" s="44">
        <v>25000</v>
      </c>
      <c r="W42" s="6"/>
      <c r="X42" s="6"/>
      <c r="Y42" s="88"/>
      <c r="Z42" s="233"/>
      <c r="AA42" s="233"/>
      <c r="AB42" s="265"/>
      <c r="AD42" s="104" t="s">
        <v>7</v>
      </c>
      <c r="AE42" s="9">
        <f ca="1">AnzahlBackgroundColor(B42:AB42)</f>
        <v>4</v>
      </c>
      <c r="AF42" s="16">
        <f t="shared" ca="1" si="10"/>
        <v>5</v>
      </c>
      <c r="AG42">
        <f t="shared" ca="1" si="11"/>
        <v>80</v>
      </c>
      <c r="AH42">
        <f ca="1">AE42*1</f>
        <v>4</v>
      </c>
      <c r="AJ42">
        <f t="shared" si="2"/>
        <v>27</v>
      </c>
    </row>
    <row r="43" spans="1:43" x14ac:dyDescent="0.2">
      <c r="A43" s="104" t="s">
        <v>8</v>
      </c>
      <c r="B43" s="42">
        <v>56695000</v>
      </c>
      <c r="C43" s="42">
        <v>171120000</v>
      </c>
      <c r="D43" s="42">
        <v>237915793</v>
      </c>
      <c r="E43" s="42">
        <v>153606500</v>
      </c>
      <c r="F43" s="44" t="s">
        <v>102</v>
      </c>
      <c r="G43" s="44" t="s">
        <v>102</v>
      </c>
      <c r="H43" s="44" t="s">
        <v>102</v>
      </c>
      <c r="I43" s="44" t="s">
        <v>102</v>
      </c>
      <c r="J43" s="44" t="s">
        <v>102</v>
      </c>
      <c r="K43" s="44" t="s">
        <v>102</v>
      </c>
      <c r="L43" s="44" t="s">
        <v>102</v>
      </c>
      <c r="M43" s="44" t="s">
        <v>102</v>
      </c>
      <c r="N43" s="43">
        <v>36024000</v>
      </c>
      <c r="O43" s="42">
        <v>36936000</v>
      </c>
      <c r="P43" s="43">
        <v>17300000</v>
      </c>
      <c r="Q43" s="43">
        <v>8900000</v>
      </c>
      <c r="R43" s="43">
        <v>13000000</v>
      </c>
      <c r="S43" s="42">
        <v>15893000</v>
      </c>
      <c r="T43" s="42">
        <v>30012500</v>
      </c>
      <c r="U43" s="42">
        <v>49489000</v>
      </c>
      <c r="V43" s="42">
        <v>36450000</v>
      </c>
      <c r="W43" s="249"/>
      <c r="X43" s="249"/>
      <c r="Y43" s="88"/>
      <c r="Z43" s="233"/>
      <c r="AA43" s="233"/>
      <c r="AB43" s="265"/>
      <c r="AD43" s="104" t="s">
        <v>8</v>
      </c>
      <c r="AE43" s="9">
        <f ca="1">AnzahlBackgroundColor(B43:AB43)</f>
        <v>11</v>
      </c>
      <c r="AF43" s="16">
        <f t="shared" ca="1" si="10"/>
        <v>16</v>
      </c>
      <c r="AG43">
        <f ca="1">AE43/AF43*100</f>
        <v>68.75</v>
      </c>
      <c r="AH43">
        <f ca="1">AE43*2</f>
        <v>22</v>
      </c>
      <c r="AJ43">
        <f t="shared" si="2"/>
        <v>27</v>
      </c>
    </row>
    <row r="44" spans="1:43" x14ac:dyDescent="0.2">
      <c r="B44" s="121" t="s">
        <v>116</v>
      </c>
      <c r="C44" s="122" t="s">
        <v>117</v>
      </c>
      <c r="D44" s="122" t="s">
        <v>117</v>
      </c>
      <c r="R44" t="s">
        <v>164</v>
      </c>
      <c r="AD44" s="104" t="s">
        <v>75</v>
      </c>
      <c r="AE44" s="19">
        <f ca="1" xml:space="preserve"> AE36+AE37+AE38+AE39+AE40+AE41+AE42+AE43</f>
        <v>101</v>
      </c>
      <c r="AF44" s="19">
        <f ca="1" xml:space="preserve"> AF36+AF37+AF38+AF39+AF40+AF41+AF42+AF43</f>
        <v>138</v>
      </c>
      <c r="AG44" s="19">
        <f t="shared" ref="AG44" ca="1" si="12">AE44/AF44*100</f>
        <v>73.188405797101453</v>
      </c>
      <c r="AH44" s="19">
        <f ca="1" xml:space="preserve"> AH36+AH37+AH38+AH39+AH40+AH41+AH42+AH43</f>
        <v>35.21</v>
      </c>
      <c r="AJ44">
        <f t="shared" si="2"/>
        <v>27</v>
      </c>
    </row>
    <row r="45" spans="1:43" x14ac:dyDescent="0.2">
      <c r="B45" s="1" t="s">
        <v>54</v>
      </c>
      <c r="C45" s="1" t="s">
        <v>54</v>
      </c>
      <c r="D45" s="1" t="s">
        <v>54</v>
      </c>
      <c r="E45" s="1" t="s">
        <v>54</v>
      </c>
      <c r="F45" s="1" t="s">
        <v>54</v>
      </c>
      <c r="G45" s="1" t="s">
        <v>54</v>
      </c>
      <c r="H45" s="1" t="s">
        <v>54</v>
      </c>
      <c r="I45" s="1" t="s">
        <v>54</v>
      </c>
      <c r="J45" s="1" t="s">
        <v>54</v>
      </c>
      <c r="K45" s="1" t="s">
        <v>54</v>
      </c>
      <c r="L45" s="1" t="s">
        <v>54</v>
      </c>
      <c r="M45" s="1" t="s">
        <v>54</v>
      </c>
      <c r="N45" s="1" t="s">
        <v>54</v>
      </c>
      <c r="O45" s="1" t="s">
        <v>54</v>
      </c>
      <c r="P45" s="1" t="s">
        <v>54</v>
      </c>
      <c r="Q45" s="1" t="s">
        <v>54</v>
      </c>
      <c r="R45" s="1" t="s">
        <v>54</v>
      </c>
      <c r="S45" s="1" t="s">
        <v>54</v>
      </c>
      <c r="T45" s="1" t="s">
        <v>54</v>
      </c>
      <c r="U45" s="1" t="s">
        <v>54</v>
      </c>
      <c r="V45" s="1" t="s">
        <v>54</v>
      </c>
      <c r="W45" s="1" t="s">
        <v>54</v>
      </c>
      <c r="X45" s="1" t="s">
        <v>54</v>
      </c>
      <c r="Y45" s="1" t="s">
        <v>54</v>
      </c>
      <c r="Z45" s="1" t="s">
        <v>54</v>
      </c>
      <c r="AA45" s="1" t="s">
        <v>54</v>
      </c>
      <c r="AB45" s="1" t="s">
        <v>54</v>
      </c>
      <c r="AF45" s="4"/>
      <c r="AG45" s="4"/>
      <c r="AJ45">
        <f t="shared" si="2"/>
        <v>27</v>
      </c>
    </row>
    <row r="46" spans="1:43" x14ac:dyDescent="0.2">
      <c r="B46" s="4">
        <v>1999</v>
      </c>
      <c r="C46" s="4">
        <v>2000</v>
      </c>
      <c r="D46" s="4">
        <v>2001</v>
      </c>
      <c r="E46" s="4">
        <v>2002</v>
      </c>
      <c r="F46" s="4">
        <v>2003</v>
      </c>
      <c r="G46" s="4">
        <v>2004</v>
      </c>
      <c r="H46" s="4">
        <v>2005</v>
      </c>
      <c r="I46" s="4">
        <v>2006</v>
      </c>
      <c r="J46" s="4">
        <v>2007</v>
      </c>
      <c r="K46" s="4">
        <v>2008</v>
      </c>
      <c r="L46" s="4">
        <v>2009</v>
      </c>
      <c r="M46" s="4">
        <v>2010</v>
      </c>
      <c r="N46" s="4">
        <v>2011</v>
      </c>
      <c r="O46" s="4">
        <v>2012</v>
      </c>
      <c r="P46" s="4">
        <v>2013</v>
      </c>
      <c r="Q46" s="4">
        <v>2014</v>
      </c>
      <c r="R46" s="4">
        <v>2015</v>
      </c>
      <c r="S46" s="4">
        <v>2016</v>
      </c>
      <c r="T46" s="4">
        <v>2017</v>
      </c>
      <c r="U46" s="4">
        <v>2018</v>
      </c>
      <c r="V46" s="4">
        <v>2019</v>
      </c>
      <c r="W46" s="4">
        <v>2020</v>
      </c>
      <c r="X46" s="4">
        <v>2021</v>
      </c>
      <c r="Y46" s="4">
        <v>2022</v>
      </c>
      <c r="Z46" s="4">
        <v>2023</v>
      </c>
      <c r="AA46" s="4">
        <v>2024</v>
      </c>
      <c r="AB46" s="4">
        <v>2025</v>
      </c>
      <c r="AE46" t="s">
        <v>73</v>
      </c>
      <c r="AF46" s="4" t="s">
        <v>74</v>
      </c>
      <c r="AG46" s="4" t="s">
        <v>77</v>
      </c>
      <c r="AH46" t="s">
        <v>78</v>
      </c>
      <c r="AJ46">
        <f t="shared" si="2"/>
        <v>27</v>
      </c>
    </row>
    <row r="47" spans="1:43" x14ac:dyDescent="0.2">
      <c r="A47" s="104" t="s">
        <v>1</v>
      </c>
      <c r="B47" s="187"/>
      <c r="C47" s="188"/>
      <c r="D47" s="201"/>
      <c r="E47" s="99">
        <v>100940055</v>
      </c>
      <c r="F47" s="43">
        <v>35100700</v>
      </c>
      <c r="G47" s="43">
        <v>49970000</v>
      </c>
      <c r="H47" s="42">
        <v>14950000</v>
      </c>
      <c r="I47" s="43">
        <v>44950000</v>
      </c>
      <c r="J47" s="42">
        <v>60001681</v>
      </c>
      <c r="K47" s="43">
        <v>24001977</v>
      </c>
      <c r="L47" s="43">
        <v>49975000</v>
      </c>
      <c r="M47" s="43">
        <v>26975000</v>
      </c>
      <c r="N47" s="42">
        <v>34965000</v>
      </c>
      <c r="O47" s="43">
        <v>47967500</v>
      </c>
      <c r="P47" s="43">
        <v>43980000</v>
      </c>
      <c r="Q47" s="43">
        <v>45000000</v>
      </c>
      <c r="R47" s="43">
        <v>25000000</v>
      </c>
      <c r="S47" s="43">
        <v>49000000</v>
      </c>
      <c r="T47" s="43">
        <v>30000000</v>
      </c>
      <c r="U47" s="43">
        <v>39000000</v>
      </c>
      <c r="V47" s="43">
        <v>41000000</v>
      </c>
      <c r="W47" s="43">
        <v>50000000</v>
      </c>
      <c r="X47" s="44"/>
      <c r="Y47" s="44"/>
      <c r="Z47" s="44"/>
      <c r="AA47" s="44"/>
      <c r="AB47" s="44"/>
      <c r="AD47" s="104" t="s">
        <v>1</v>
      </c>
      <c r="AE47" s="9">
        <f ca="1">AnzahlBackgroundColor(E47:AB47)</f>
        <v>4</v>
      </c>
      <c r="AF47" s="16">
        <f ca="1">AJ47-AnzahlBackgroundColor(B47:AB47)</f>
        <v>19</v>
      </c>
      <c r="AG47">
        <f ca="1">AE47/AF47*100</f>
        <v>21.052631578947366</v>
      </c>
      <c r="AH47">
        <f ca="1">AE47*0.01</f>
        <v>0.04</v>
      </c>
      <c r="AJ47">
        <f t="shared" si="2"/>
        <v>27</v>
      </c>
    </row>
    <row r="48" spans="1:43" x14ac:dyDescent="0.2">
      <c r="A48" s="104" t="s">
        <v>2</v>
      </c>
      <c r="B48" s="191"/>
      <c r="C48" s="186"/>
      <c r="D48" s="202"/>
      <c r="E48" s="99">
        <v>175940055</v>
      </c>
      <c r="F48" s="43">
        <v>9400700</v>
      </c>
      <c r="G48" s="43">
        <v>24970000</v>
      </c>
      <c r="H48" s="43">
        <v>14950000</v>
      </c>
      <c r="I48" s="43">
        <v>44950000</v>
      </c>
      <c r="J48" s="43">
        <v>25000103</v>
      </c>
      <c r="K48" s="43">
        <v>68009877</v>
      </c>
      <c r="L48" s="43">
        <v>15975000</v>
      </c>
      <c r="M48" s="43">
        <v>30975000</v>
      </c>
      <c r="N48" s="43">
        <v>46965000</v>
      </c>
      <c r="O48" s="43">
        <v>33967500</v>
      </c>
      <c r="P48" s="43">
        <v>40980000</v>
      </c>
      <c r="Q48" s="43">
        <v>25000000</v>
      </c>
      <c r="R48" s="42">
        <v>32000000</v>
      </c>
      <c r="S48" s="43">
        <v>52000000</v>
      </c>
      <c r="T48" s="43">
        <v>34000000</v>
      </c>
      <c r="U48" s="43">
        <v>14000000</v>
      </c>
      <c r="V48" s="43">
        <v>35000000</v>
      </c>
      <c r="W48" s="43">
        <v>43000000</v>
      </c>
      <c r="X48" s="44"/>
      <c r="Y48" s="44"/>
      <c r="Z48" s="44"/>
      <c r="AA48" s="44"/>
      <c r="AB48" s="44"/>
      <c r="AD48" s="104" t="s">
        <v>2</v>
      </c>
      <c r="AE48" s="9">
        <f ca="1">AnzahlBackgroundColor(E48:AB48)</f>
        <v>1</v>
      </c>
      <c r="AF48" s="16">
        <f t="shared" ref="AF48:AF54" ca="1" si="13">AJ48-AnzahlBackgroundColor(B48:AB48)</f>
        <v>19</v>
      </c>
      <c r="AG48">
        <f t="shared" ref="AG48:AG53" ca="1" si="14">AE48/AF48*100</f>
        <v>5.2631578947368416</v>
      </c>
      <c r="AH48">
        <f ca="1">AE48*0.02</f>
        <v>0.02</v>
      </c>
      <c r="AJ48">
        <f t="shared" si="2"/>
        <v>27</v>
      </c>
    </row>
    <row r="49" spans="1:36" x14ac:dyDescent="0.2">
      <c r="A49" s="104" t="s">
        <v>3</v>
      </c>
      <c r="B49" s="191"/>
      <c r="C49" s="186"/>
      <c r="D49" s="202"/>
      <c r="E49" s="99">
        <v>210940055</v>
      </c>
      <c r="F49" s="44">
        <v>650700</v>
      </c>
      <c r="G49" s="44">
        <v>220000</v>
      </c>
      <c r="H49" s="44">
        <v>950000</v>
      </c>
      <c r="I49" s="43">
        <v>49950000</v>
      </c>
      <c r="J49" s="42">
        <v>55005598</v>
      </c>
      <c r="K49" s="43">
        <v>50000713</v>
      </c>
      <c r="L49" s="43">
        <v>37975000</v>
      </c>
      <c r="M49" s="43">
        <v>4975000</v>
      </c>
      <c r="N49" s="42">
        <v>33965000</v>
      </c>
      <c r="O49" s="43">
        <v>4967500</v>
      </c>
      <c r="P49" s="44" t="s">
        <v>102</v>
      </c>
      <c r="Q49" s="43">
        <v>18000000</v>
      </c>
      <c r="R49" s="43">
        <v>10000000</v>
      </c>
      <c r="S49" s="43">
        <v>27000000</v>
      </c>
      <c r="T49" s="43">
        <v>8000000</v>
      </c>
      <c r="U49" s="43">
        <v>15000000</v>
      </c>
      <c r="V49" s="42">
        <v>36000000</v>
      </c>
      <c r="W49" s="43">
        <v>13000000</v>
      </c>
      <c r="X49" s="44"/>
      <c r="Y49" s="44"/>
      <c r="Z49" s="44"/>
      <c r="AA49" s="44"/>
      <c r="AB49" s="44"/>
      <c r="AD49" s="104" t="s">
        <v>3</v>
      </c>
      <c r="AE49" s="9">
        <f ca="1">AnzahlBackgroundColor(E49:AB49)</f>
        <v>4</v>
      </c>
      <c r="AF49" s="16">
        <f t="shared" ca="1" si="13"/>
        <v>15</v>
      </c>
      <c r="AG49">
        <f t="shared" ca="1" si="14"/>
        <v>26.666666666666668</v>
      </c>
      <c r="AH49">
        <f ca="1">AE49*0.05</f>
        <v>0.2</v>
      </c>
      <c r="AJ49">
        <f t="shared" si="2"/>
        <v>27</v>
      </c>
    </row>
    <row r="50" spans="1:36" ht="16" thickBot="1" x14ac:dyDescent="0.25">
      <c r="A50" s="104" t="s">
        <v>4</v>
      </c>
      <c r="B50" s="191"/>
      <c r="C50" s="186"/>
      <c r="D50" s="202"/>
      <c r="E50" s="99">
        <v>138940055</v>
      </c>
      <c r="F50" s="44">
        <v>500700</v>
      </c>
      <c r="G50" s="42">
        <v>9970000</v>
      </c>
      <c r="H50" s="42">
        <v>24950000</v>
      </c>
      <c r="I50" s="42">
        <v>44950000</v>
      </c>
      <c r="J50" s="42">
        <v>60044185</v>
      </c>
      <c r="K50" s="43">
        <v>40578476</v>
      </c>
      <c r="L50" s="42">
        <v>45975000</v>
      </c>
      <c r="M50" s="43">
        <v>4975000</v>
      </c>
      <c r="N50" s="43">
        <v>35965000</v>
      </c>
      <c r="O50" s="44" t="s">
        <v>102</v>
      </c>
      <c r="P50" s="42">
        <v>18980000</v>
      </c>
      <c r="Q50" s="209"/>
      <c r="R50" s="44">
        <v>15000</v>
      </c>
      <c r="S50" s="44">
        <v>15000</v>
      </c>
      <c r="T50" s="43">
        <v>15000000</v>
      </c>
      <c r="U50" s="42">
        <v>14000000</v>
      </c>
      <c r="V50" s="43">
        <v>24000000</v>
      </c>
      <c r="W50" s="43">
        <v>40000000</v>
      </c>
      <c r="X50" s="44"/>
      <c r="Y50" s="44"/>
      <c r="Z50" s="44"/>
      <c r="AA50" s="44"/>
      <c r="AB50" s="44"/>
      <c r="AD50" s="104" t="s">
        <v>4</v>
      </c>
      <c r="AE50" s="9">
        <f ca="1">AnzahlBackgroundColor(E50:AB50)</f>
        <v>8</v>
      </c>
      <c r="AF50" s="16">
        <f t="shared" ca="1" si="13"/>
        <v>14</v>
      </c>
      <c r="AG50">
        <f t="shared" ca="1" si="14"/>
        <v>57.142857142857139</v>
      </c>
      <c r="AH50">
        <f ca="1">AE50*0.1</f>
        <v>0.8</v>
      </c>
      <c r="AJ50">
        <f t="shared" si="2"/>
        <v>27</v>
      </c>
    </row>
    <row r="51" spans="1:36" ht="16" thickBot="1" x14ac:dyDescent="0.25">
      <c r="A51" s="104" t="s">
        <v>5</v>
      </c>
      <c r="B51" s="191"/>
      <c r="C51" s="186"/>
      <c r="D51" s="202"/>
      <c r="E51" s="99">
        <v>208940055</v>
      </c>
      <c r="F51" s="44">
        <v>700700</v>
      </c>
      <c r="G51" s="44">
        <v>470000</v>
      </c>
      <c r="H51" s="219">
        <v>950000</v>
      </c>
      <c r="I51" s="44">
        <v>950000</v>
      </c>
      <c r="J51" s="44">
        <v>955113</v>
      </c>
      <c r="K51" s="43">
        <v>20003617</v>
      </c>
      <c r="L51" s="42">
        <v>23975000</v>
      </c>
      <c r="M51" s="42">
        <v>11975000</v>
      </c>
      <c r="N51" s="44">
        <v>965000</v>
      </c>
      <c r="O51" s="44" t="s">
        <v>102</v>
      </c>
      <c r="P51" s="44" t="s">
        <v>102</v>
      </c>
      <c r="Q51" s="186"/>
      <c r="R51" s="44">
        <v>15000</v>
      </c>
      <c r="S51" s="44">
        <v>15000</v>
      </c>
      <c r="T51" s="44">
        <v>15000</v>
      </c>
      <c r="U51" s="44">
        <v>15000</v>
      </c>
      <c r="V51" s="43">
        <v>12000000</v>
      </c>
      <c r="W51" s="42">
        <v>32000000</v>
      </c>
      <c r="X51" s="44"/>
      <c r="Y51" s="44"/>
      <c r="Z51" s="44"/>
      <c r="AA51" s="44"/>
      <c r="AB51" s="44"/>
      <c r="AD51" s="104" t="s">
        <v>5</v>
      </c>
      <c r="AE51" s="9">
        <f ca="1">AnzahlBackgroundColor(E51:AB51)</f>
        <v>5</v>
      </c>
      <c r="AF51" s="16">
        <f t="shared" ca="1" si="13"/>
        <v>7</v>
      </c>
      <c r="AG51">
        <f t="shared" ca="1" si="14"/>
        <v>71.428571428571431</v>
      </c>
      <c r="AH51">
        <f ca="1">AE51*0.2</f>
        <v>1</v>
      </c>
      <c r="AJ51">
        <f t="shared" si="2"/>
        <v>27</v>
      </c>
    </row>
    <row r="52" spans="1:36" ht="16" thickBot="1" x14ac:dyDescent="0.25">
      <c r="A52" s="104" t="s">
        <v>6</v>
      </c>
      <c r="B52" s="191"/>
      <c r="C52" s="186"/>
      <c r="D52" s="202"/>
      <c r="E52" s="99">
        <v>92940055</v>
      </c>
      <c r="F52" s="44">
        <v>600700</v>
      </c>
      <c r="G52" s="213">
        <v>470000</v>
      </c>
      <c r="H52" s="219">
        <v>950000</v>
      </c>
      <c r="I52" s="110">
        <v>950000</v>
      </c>
      <c r="J52" s="44">
        <v>952239</v>
      </c>
      <c r="K52" s="42">
        <v>10019641</v>
      </c>
      <c r="L52" s="43">
        <v>6975000</v>
      </c>
      <c r="M52" s="43">
        <v>5975000</v>
      </c>
      <c r="N52" s="43">
        <v>6965000</v>
      </c>
      <c r="O52" s="44" t="s">
        <v>102</v>
      </c>
      <c r="P52" s="44" t="s">
        <v>102</v>
      </c>
      <c r="Q52" s="186"/>
      <c r="R52" s="44">
        <v>15000</v>
      </c>
      <c r="S52" s="44">
        <v>15000</v>
      </c>
      <c r="T52" s="44">
        <v>15000</v>
      </c>
      <c r="U52" s="44">
        <v>15000</v>
      </c>
      <c r="V52" s="43">
        <v>3000000</v>
      </c>
      <c r="W52" s="43">
        <v>7000000</v>
      </c>
      <c r="X52" s="44"/>
      <c r="Y52" s="44"/>
      <c r="Z52" s="44"/>
      <c r="AA52" s="44"/>
      <c r="AB52" s="44"/>
      <c r="AD52" s="104" t="s">
        <v>6</v>
      </c>
      <c r="AE52" s="9">
        <f ca="1">AnzahlBackgroundColor(E52:AB52)</f>
        <v>3</v>
      </c>
      <c r="AF52" s="16">
        <f t="shared" ca="1" si="13"/>
        <v>8</v>
      </c>
      <c r="AG52">
        <f t="shared" ca="1" si="14"/>
        <v>37.5</v>
      </c>
      <c r="AH52">
        <f ca="1">AE52*0.5</f>
        <v>1.5</v>
      </c>
      <c r="AJ52">
        <f t="shared" si="2"/>
        <v>27</v>
      </c>
    </row>
    <row r="53" spans="1:36" x14ac:dyDescent="0.2">
      <c r="A53" s="104" t="s">
        <v>7</v>
      </c>
      <c r="B53" s="191"/>
      <c r="C53" s="186"/>
      <c r="D53" s="202"/>
      <c r="E53" s="99">
        <v>61440055</v>
      </c>
      <c r="F53" s="43">
        <v>11600700</v>
      </c>
      <c r="G53" s="42">
        <v>9970000</v>
      </c>
      <c r="H53" s="215">
        <v>9950000</v>
      </c>
      <c r="I53" s="43">
        <v>9950000</v>
      </c>
      <c r="J53" s="42">
        <v>24167900</v>
      </c>
      <c r="K53" s="43">
        <v>4001726</v>
      </c>
      <c r="L53" s="42">
        <v>17975000</v>
      </c>
      <c r="M53" s="43">
        <v>10975000</v>
      </c>
      <c r="N53" s="44">
        <v>965000</v>
      </c>
      <c r="O53" s="44" t="s">
        <v>102</v>
      </c>
      <c r="P53" s="44" t="s">
        <v>102</v>
      </c>
      <c r="Q53" s="186"/>
      <c r="R53" s="44">
        <v>15000</v>
      </c>
      <c r="S53" s="44">
        <v>15000</v>
      </c>
      <c r="T53" s="44">
        <v>15000</v>
      </c>
      <c r="U53" s="44">
        <v>15000</v>
      </c>
      <c r="V53" s="44">
        <v>10000</v>
      </c>
      <c r="W53" s="44">
        <v>10000</v>
      </c>
      <c r="X53" s="44"/>
      <c r="Y53" s="44"/>
      <c r="Z53" s="44"/>
      <c r="AA53" s="44"/>
      <c r="AB53" s="44"/>
      <c r="AD53" s="104" t="s">
        <v>7</v>
      </c>
      <c r="AE53" s="9">
        <f ca="1">AnzahlBackgroundColor(E53:AB53)</f>
        <v>4</v>
      </c>
      <c r="AF53" s="16">
        <f t="shared" ca="1" si="13"/>
        <v>9</v>
      </c>
      <c r="AG53">
        <f t="shared" ca="1" si="14"/>
        <v>44.444444444444443</v>
      </c>
      <c r="AH53">
        <f ca="1">AE53*1</f>
        <v>4</v>
      </c>
      <c r="AJ53">
        <f t="shared" si="2"/>
        <v>27</v>
      </c>
    </row>
    <row r="54" spans="1:36" x14ac:dyDescent="0.2">
      <c r="A54" s="104" t="s">
        <v>8</v>
      </c>
      <c r="B54" s="194"/>
      <c r="C54" s="195"/>
      <c r="D54" s="203"/>
      <c r="E54" s="99">
        <v>75340055</v>
      </c>
      <c r="F54" s="44">
        <v>450700</v>
      </c>
      <c r="G54" s="44" t="s">
        <v>102</v>
      </c>
      <c r="H54" s="44">
        <v>950000</v>
      </c>
      <c r="I54" s="44">
        <v>950000</v>
      </c>
      <c r="J54" s="44" t="s">
        <v>102</v>
      </c>
      <c r="K54" s="43">
        <v>1007522</v>
      </c>
      <c r="L54" s="44">
        <v>982500</v>
      </c>
      <c r="M54" s="44">
        <v>582500</v>
      </c>
      <c r="N54" s="44" t="s">
        <v>102</v>
      </c>
      <c r="O54" s="44" t="s">
        <v>102</v>
      </c>
      <c r="P54" s="44" t="s">
        <v>102</v>
      </c>
      <c r="Q54" s="186"/>
      <c r="R54" s="44">
        <v>15000</v>
      </c>
      <c r="S54" s="44">
        <v>15000</v>
      </c>
      <c r="T54" s="44">
        <v>15000</v>
      </c>
      <c r="U54" s="44">
        <v>15000</v>
      </c>
      <c r="V54" s="44">
        <v>10000</v>
      </c>
      <c r="W54" s="44">
        <v>10000</v>
      </c>
      <c r="X54" s="44"/>
      <c r="Y54" s="44"/>
      <c r="Z54" s="44"/>
      <c r="AA54" s="44"/>
      <c r="AB54" s="44"/>
      <c r="AD54" s="104" t="s">
        <v>8</v>
      </c>
      <c r="AE54" s="9">
        <f ca="1">AnzahlBackgroundColor(E54:AB54)</f>
        <v>1</v>
      </c>
      <c r="AF54" s="16">
        <f t="shared" ca="1" si="13"/>
        <v>2</v>
      </c>
      <c r="AG54">
        <f ca="1">AE54/AF54*100</f>
        <v>50</v>
      </c>
      <c r="AH54">
        <f ca="1">AE54*2</f>
        <v>2</v>
      </c>
      <c r="AJ54">
        <f t="shared" si="2"/>
        <v>27</v>
      </c>
    </row>
    <row r="55" spans="1:36" x14ac:dyDescent="0.2">
      <c r="E55" s="121" t="s">
        <v>116</v>
      </c>
      <c r="F55" t="s">
        <v>115</v>
      </c>
      <c r="AD55" s="104" t="s">
        <v>75</v>
      </c>
      <c r="AE55" s="19">
        <f ca="1" xml:space="preserve"> AE47+AE48+AE49+AE50+AE51+AE52+AE53+AE54</f>
        <v>30</v>
      </c>
      <c r="AF55" s="19">
        <f ca="1" xml:space="preserve"> AF47+AF48+AF49+AF50+AF51+AF52+AF53+AF54</f>
        <v>93</v>
      </c>
      <c r="AG55" s="19">
        <f t="shared" ref="AG55" ca="1" si="15">AE55/AF55*100</f>
        <v>32.258064516129032</v>
      </c>
      <c r="AH55" s="19">
        <f ca="1" xml:space="preserve"> AH47+AH48+AH49+AH50+AH51+AH52+AH53+AH54</f>
        <v>9.56</v>
      </c>
      <c r="AJ55">
        <f t="shared" si="2"/>
        <v>27</v>
      </c>
    </row>
    <row r="56" spans="1:36" x14ac:dyDescent="0.2">
      <c r="B56" s="1" t="s">
        <v>55</v>
      </c>
      <c r="C56" s="1" t="s">
        <v>55</v>
      </c>
      <c r="D56" s="1" t="s">
        <v>55</v>
      </c>
      <c r="E56" s="1" t="s">
        <v>55</v>
      </c>
      <c r="F56" s="1" t="s">
        <v>55</v>
      </c>
      <c r="G56" s="1" t="s">
        <v>55</v>
      </c>
      <c r="H56" s="1" t="s">
        <v>55</v>
      </c>
      <c r="I56" s="1" t="s">
        <v>55</v>
      </c>
      <c r="J56" s="1" t="s">
        <v>55</v>
      </c>
      <c r="K56" s="1" t="s">
        <v>55</v>
      </c>
      <c r="L56" s="1" t="s">
        <v>55</v>
      </c>
      <c r="M56" s="1" t="s">
        <v>55</v>
      </c>
      <c r="N56" s="1" t="s">
        <v>55</v>
      </c>
      <c r="O56" s="1" t="s">
        <v>55</v>
      </c>
      <c r="P56" s="1" t="s">
        <v>55</v>
      </c>
      <c r="Q56" s="1" t="s">
        <v>55</v>
      </c>
      <c r="R56" s="1" t="s">
        <v>55</v>
      </c>
      <c r="S56" s="1" t="s">
        <v>55</v>
      </c>
      <c r="T56" s="1" t="s">
        <v>55</v>
      </c>
      <c r="U56" s="1" t="s">
        <v>55</v>
      </c>
      <c r="V56" s="1" t="s">
        <v>55</v>
      </c>
      <c r="W56" s="1" t="s">
        <v>55</v>
      </c>
      <c r="X56" s="1" t="s">
        <v>55</v>
      </c>
      <c r="Y56" s="1" t="s">
        <v>55</v>
      </c>
      <c r="Z56" s="1" t="s">
        <v>55</v>
      </c>
      <c r="AA56" s="1" t="s">
        <v>55</v>
      </c>
      <c r="AB56" s="1" t="s">
        <v>55</v>
      </c>
      <c r="AF56" s="4"/>
      <c r="AG56" s="4"/>
      <c r="AJ56">
        <f t="shared" si="2"/>
        <v>27</v>
      </c>
    </row>
    <row r="57" spans="1:36" x14ac:dyDescent="0.2">
      <c r="B57" s="4">
        <v>1999</v>
      </c>
      <c r="C57" s="4">
        <v>2000</v>
      </c>
      <c r="D57" s="4">
        <v>2001</v>
      </c>
      <c r="E57" s="4">
        <v>2002</v>
      </c>
      <c r="F57" s="4">
        <v>2003</v>
      </c>
      <c r="G57" s="4">
        <v>2004</v>
      </c>
      <c r="H57" s="4">
        <v>2005</v>
      </c>
      <c r="I57" s="4">
        <v>2006</v>
      </c>
      <c r="J57" s="4">
        <v>2007</v>
      </c>
      <c r="K57" s="4">
        <v>2008</v>
      </c>
      <c r="L57" s="4">
        <v>2009</v>
      </c>
      <c r="M57" s="4">
        <v>2010</v>
      </c>
      <c r="N57" s="4">
        <v>2011</v>
      </c>
      <c r="O57" s="4">
        <v>2012</v>
      </c>
      <c r="P57" s="4">
        <v>2013</v>
      </c>
      <c r="Q57" s="4">
        <v>2014</v>
      </c>
      <c r="R57" s="4">
        <v>2015</v>
      </c>
      <c r="S57" s="4">
        <v>2016</v>
      </c>
      <c r="T57" s="4">
        <v>2017</v>
      </c>
      <c r="U57" s="4">
        <v>2018</v>
      </c>
      <c r="V57" s="4">
        <v>2019</v>
      </c>
      <c r="W57" s="4">
        <v>2020</v>
      </c>
      <c r="X57" s="4">
        <v>2021</v>
      </c>
      <c r="Y57" s="4">
        <v>2022</v>
      </c>
      <c r="Z57" s="4">
        <v>2023</v>
      </c>
      <c r="AA57" s="4">
        <v>2024</v>
      </c>
      <c r="AB57" s="4">
        <v>2025</v>
      </c>
      <c r="AE57" t="s">
        <v>73</v>
      </c>
      <c r="AF57" s="4" t="s">
        <v>74</v>
      </c>
      <c r="AG57" s="4" t="s">
        <v>77</v>
      </c>
      <c r="AH57" t="s">
        <v>78</v>
      </c>
      <c r="AJ57">
        <f t="shared" si="2"/>
        <v>27</v>
      </c>
    </row>
    <row r="58" spans="1:36" x14ac:dyDescent="0.2">
      <c r="A58" s="104" t="s">
        <v>1</v>
      </c>
      <c r="B58" s="187"/>
      <c r="C58" s="188"/>
      <c r="D58" s="198"/>
      <c r="E58" s="100">
        <v>404314788</v>
      </c>
      <c r="F58" s="101">
        <v>77837182</v>
      </c>
      <c r="G58" s="101">
        <v>174793634</v>
      </c>
      <c r="H58" s="101">
        <v>126969391</v>
      </c>
      <c r="I58" s="100">
        <v>111166861</v>
      </c>
      <c r="J58" s="101">
        <v>163748944</v>
      </c>
      <c r="K58" s="100">
        <v>59002134</v>
      </c>
      <c r="L58" s="101">
        <v>52258019</v>
      </c>
      <c r="M58" s="101">
        <v>7636442</v>
      </c>
      <c r="N58" s="100">
        <v>23261567</v>
      </c>
      <c r="O58" s="101">
        <v>61400000</v>
      </c>
      <c r="P58" s="101">
        <v>58700000</v>
      </c>
      <c r="Q58" s="101">
        <v>77000000</v>
      </c>
      <c r="R58" s="106">
        <v>40000</v>
      </c>
      <c r="S58" s="106">
        <v>155000</v>
      </c>
      <c r="T58" s="106">
        <v>9170</v>
      </c>
      <c r="U58" s="106">
        <v>19980</v>
      </c>
      <c r="V58" s="106">
        <v>9000</v>
      </c>
      <c r="W58" s="106"/>
      <c r="X58" s="186"/>
      <c r="Y58" s="186"/>
      <c r="Z58" s="186"/>
      <c r="AA58" s="186"/>
      <c r="AB58" s="186"/>
      <c r="AD58" s="104" t="s">
        <v>1</v>
      </c>
      <c r="AE58" s="9">
        <f ca="1">AnzahlBackgroundColor(E58:AB58)</f>
        <v>4</v>
      </c>
      <c r="AF58" s="16">
        <f ca="1">AJ58-AnzahlBackgroundColor(B58:AB58)</f>
        <v>13</v>
      </c>
      <c r="AG58">
        <f ca="1">AE58/AF58*100</f>
        <v>30.76923076923077</v>
      </c>
      <c r="AH58">
        <f ca="1">AE58*0.01</f>
        <v>0.04</v>
      </c>
      <c r="AJ58">
        <f t="shared" si="2"/>
        <v>27</v>
      </c>
    </row>
    <row r="59" spans="1:36" x14ac:dyDescent="0.2">
      <c r="A59" s="104" t="s">
        <v>2</v>
      </c>
      <c r="B59" s="191"/>
      <c r="C59" s="186"/>
      <c r="D59" s="199"/>
      <c r="E59" s="100">
        <v>354618386</v>
      </c>
      <c r="F59" s="101">
        <v>177225034</v>
      </c>
      <c r="G59" s="101">
        <v>142964694</v>
      </c>
      <c r="H59" s="101">
        <v>72549884</v>
      </c>
      <c r="I59" s="101">
        <v>26588597</v>
      </c>
      <c r="J59" s="101">
        <v>200887066</v>
      </c>
      <c r="K59" s="101">
        <v>42116152</v>
      </c>
      <c r="L59" s="101">
        <v>41091162</v>
      </c>
      <c r="M59" s="101">
        <v>3496511</v>
      </c>
      <c r="N59" s="101">
        <v>4813844</v>
      </c>
      <c r="O59" s="101">
        <v>11900000</v>
      </c>
      <c r="P59" s="101">
        <v>28300000</v>
      </c>
      <c r="Q59" s="101">
        <v>50000000</v>
      </c>
      <c r="R59" s="106">
        <v>40000</v>
      </c>
      <c r="S59" s="106">
        <v>150000</v>
      </c>
      <c r="T59" s="106">
        <v>9120</v>
      </c>
      <c r="U59" s="106">
        <v>19990</v>
      </c>
      <c r="V59" s="106">
        <v>9000</v>
      </c>
      <c r="W59" s="106"/>
      <c r="X59" s="186"/>
      <c r="Y59" s="186"/>
      <c r="Z59" s="186"/>
      <c r="AA59" s="186"/>
      <c r="AB59" s="186"/>
      <c r="AD59" s="104" t="s">
        <v>2</v>
      </c>
      <c r="AE59" s="9">
        <f ca="1">AnzahlBackgroundColor(E59:AB59)</f>
        <v>1</v>
      </c>
      <c r="AF59" s="16">
        <f t="shared" ref="AF59:AF65" ca="1" si="16">AJ59-AnzahlBackgroundColor(B59:AB59)</f>
        <v>13</v>
      </c>
      <c r="AG59">
        <f t="shared" ref="AG59:AG64" ca="1" si="17">AE59/AF59*100</f>
        <v>7.6923076923076925</v>
      </c>
      <c r="AH59">
        <f ca="1">AE59*0.02</f>
        <v>0.02</v>
      </c>
      <c r="AJ59">
        <f t="shared" si="2"/>
        <v>27</v>
      </c>
    </row>
    <row r="60" spans="1:36" x14ac:dyDescent="0.2">
      <c r="A60" s="104" t="s">
        <v>3</v>
      </c>
      <c r="B60" s="191"/>
      <c r="C60" s="186"/>
      <c r="D60" s="199"/>
      <c r="E60" s="100">
        <v>456245848</v>
      </c>
      <c r="F60" s="101">
        <v>48287370</v>
      </c>
      <c r="G60" s="100">
        <v>80314322</v>
      </c>
      <c r="H60" s="100">
        <v>56459380</v>
      </c>
      <c r="I60" s="101">
        <v>88018370</v>
      </c>
      <c r="J60" s="101">
        <v>136157269</v>
      </c>
      <c r="K60" s="101">
        <v>61844008</v>
      </c>
      <c r="L60" s="100">
        <v>10333341</v>
      </c>
      <c r="M60" s="101">
        <v>1023881</v>
      </c>
      <c r="N60" s="101">
        <v>1024637</v>
      </c>
      <c r="O60" s="101">
        <v>1000000</v>
      </c>
      <c r="P60" s="101">
        <v>1000000</v>
      </c>
      <c r="Q60" s="101">
        <v>36000000</v>
      </c>
      <c r="R60" s="101">
        <v>1060000</v>
      </c>
      <c r="S60" s="101">
        <v>25000</v>
      </c>
      <c r="T60" s="106">
        <v>782980</v>
      </c>
      <c r="U60" s="101">
        <v>30066180</v>
      </c>
      <c r="V60" s="101">
        <v>30000000</v>
      </c>
      <c r="W60" s="106"/>
      <c r="X60" s="186"/>
      <c r="Y60" s="186"/>
      <c r="Z60" s="186"/>
      <c r="AA60" s="186"/>
      <c r="AB60" s="186"/>
      <c r="AD60" s="104" t="s">
        <v>3</v>
      </c>
      <c r="AE60" s="9">
        <f ca="1">AnzahlBackgroundColor(E60:AB60)</f>
        <v>4</v>
      </c>
      <c r="AF60" s="16">
        <f t="shared" ca="1" si="16"/>
        <v>17</v>
      </c>
      <c r="AG60">
        <f t="shared" ca="1" si="17"/>
        <v>23.52941176470588</v>
      </c>
      <c r="AH60">
        <f ca="1">AE60*0.05</f>
        <v>0.2</v>
      </c>
      <c r="AJ60">
        <f t="shared" si="2"/>
        <v>27</v>
      </c>
    </row>
    <row r="61" spans="1:36" x14ac:dyDescent="0.2">
      <c r="A61" s="104" t="s">
        <v>4</v>
      </c>
      <c r="B61" s="191"/>
      <c r="C61" s="186"/>
      <c r="D61" s="199"/>
      <c r="E61" s="100">
        <v>275888284</v>
      </c>
      <c r="F61" s="100">
        <v>133750907</v>
      </c>
      <c r="G61" s="101">
        <v>36732778</v>
      </c>
      <c r="H61" s="100">
        <v>7097786</v>
      </c>
      <c r="I61" s="101">
        <v>9679229</v>
      </c>
      <c r="J61" s="100">
        <v>79388096</v>
      </c>
      <c r="K61" s="100">
        <v>53997990</v>
      </c>
      <c r="L61" s="100">
        <v>10850328</v>
      </c>
      <c r="M61" s="101">
        <v>1078313</v>
      </c>
      <c r="N61" s="101">
        <v>1030118</v>
      </c>
      <c r="O61" s="101">
        <v>1000000</v>
      </c>
      <c r="P61" s="101">
        <v>1300000</v>
      </c>
      <c r="Q61" s="101">
        <v>25000000</v>
      </c>
      <c r="R61" s="101">
        <v>9120000</v>
      </c>
      <c r="S61" s="101">
        <v>2225000</v>
      </c>
      <c r="T61" s="100">
        <v>189255</v>
      </c>
      <c r="U61" s="106">
        <v>179800</v>
      </c>
      <c r="V61" s="101">
        <v>10000000</v>
      </c>
      <c r="W61" s="106"/>
      <c r="X61" s="186"/>
      <c r="Y61" s="186"/>
      <c r="Z61" s="186"/>
      <c r="AA61" s="186"/>
      <c r="AB61" s="186"/>
      <c r="AD61" s="104" t="s">
        <v>4</v>
      </c>
      <c r="AE61" s="9">
        <f ca="1">AnzahlBackgroundColor(E61:AB61)</f>
        <v>7</v>
      </c>
      <c r="AF61" s="16">
        <f t="shared" ca="1" si="16"/>
        <v>17</v>
      </c>
      <c r="AG61">
        <f t="shared" ca="1" si="17"/>
        <v>41.17647058823529</v>
      </c>
      <c r="AH61">
        <f ca="1">AE61*0.1</f>
        <v>0.70000000000000007</v>
      </c>
      <c r="AJ61">
        <f t="shared" si="2"/>
        <v>27</v>
      </c>
    </row>
    <row r="62" spans="1:36" x14ac:dyDescent="0.2">
      <c r="A62" s="104" t="s">
        <v>5</v>
      </c>
      <c r="B62" s="191"/>
      <c r="C62" s="186"/>
      <c r="D62" s="199"/>
      <c r="E62" s="100">
        <v>234550562</v>
      </c>
      <c r="F62" s="100">
        <v>57077221</v>
      </c>
      <c r="G62" s="100">
        <v>32381447</v>
      </c>
      <c r="H62" s="101">
        <v>40444062</v>
      </c>
      <c r="I62" s="100">
        <v>10377229</v>
      </c>
      <c r="J62" s="100">
        <v>34489488</v>
      </c>
      <c r="K62" s="101">
        <v>45990533</v>
      </c>
      <c r="L62" s="101">
        <v>4279307</v>
      </c>
      <c r="M62" s="101">
        <v>1027059</v>
      </c>
      <c r="N62" s="101">
        <v>1201428</v>
      </c>
      <c r="O62" s="101">
        <v>1000000</v>
      </c>
      <c r="P62" s="101">
        <v>1300000</v>
      </c>
      <c r="Q62" s="101">
        <v>24000000</v>
      </c>
      <c r="R62" s="101">
        <v>1080000</v>
      </c>
      <c r="S62" s="106">
        <v>25000</v>
      </c>
      <c r="T62" s="106">
        <v>9115</v>
      </c>
      <c r="U62" s="106">
        <v>120030</v>
      </c>
      <c r="V62" s="106">
        <v>9000</v>
      </c>
      <c r="W62" s="106"/>
      <c r="X62" s="186"/>
      <c r="Y62" s="186"/>
      <c r="Z62" s="186"/>
      <c r="AA62" s="186"/>
      <c r="AB62" s="186"/>
      <c r="AD62" s="104" t="s">
        <v>5</v>
      </c>
      <c r="AE62" s="9">
        <f ca="1">AnzahlBackgroundColor(E62:AB62)</f>
        <v>5</v>
      </c>
      <c r="AF62" s="16">
        <f t="shared" ca="1" si="16"/>
        <v>14</v>
      </c>
      <c r="AG62">
        <f t="shared" ca="1" si="17"/>
        <v>35.714285714285715</v>
      </c>
      <c r="AH62">
        <f ca="1">AE62*0.2</f>
        <v>1</v>
      </c>
      <c r="AJ62">
        <f t="shared" si="2"/>
        <v>27</v>
      </c>
    </row>
    <row r="63" spans="1:36" x14ac:dyDescent="0.2">
      <c r="A63" s="104" t="s">
        <v>6</v>
      </c>
      <c r="B63" s="191"/>
      <c r="C63" s="186"/>
      <c r="D63" s="199"/>
      <c r="E63" s="100">
        <v>144119592</v>
      </c>
      <c r="F63" s="100">
        <v>11747326</v>
      </c>
      <c r="G63" s="101">
        <v>6709312</v>
      </c>
      <c r="H63" s="100">
        <v>17258568</v>
      </c>
      <c r="I63" s="100">
        <v>7479651</v>
      </c>
      <c r="J63" s="100">
        <v>8702160</v>
      </c>
      <c r="K63" s="101">
        <v>1122371</v>
      </c>
      <c r="L63" s="101">
        <v>1866011</v>
      </c>
      <c r="M63" s="101">
        <v>1173242</v>
      </c>
      <c r="N63" s="101">
        <v>1096961</v>
      </c>
      <c r="O63" s="101">
        <v>1000000</v>
      </c>
      <c r="P63" s="101">
        <v>1000000</v>
      </c>
      <c r="Q63" s="101">
        <v>15000000</v>
      </c>
      <c r="R63" s="101">
        <v>1090000</v>
      </c>
      <c r="S63" s="106">
        <v>25000</v>
      </c>
      <c r="T63" s="106">
        <v>9260</v>
      </c>
      <c r="U63" s="106">
        <v>79990</v>
      </c>
      <c r="V63" s="106">
        <v>9000</v>
      </c>
      <c r="W63" s="106"/>
      <c r="X63" s="186"/>
      <c r="Y63" s="186"/>
      <c r="Z63" s="186"/>
      <c r="AA63" s="186"/>
      <c r="AB63" s="186"/>
      <c r="AD63" s="104" t="s">
        <v>6</v>
      </c>
      <c r="AE63" s="9">
        <f ca="1">AnzahlBackgroundColor(E63:AB63)</f>
        <v>5</v>
      </c>
      <c r="AF63" s="16">
        <f t="shared" ca="1" si="16"/>
        <v>14</v>
      </c>
      <c r="AG63">
        <f t="shared" ca="1" si="17"/>
        <v>35.714285714285715</v>
      </c>
      <c r="AH63">
        <f ca="1">AE63*0.5</f>
        <v>2.5</v>
      </c>
      <c r="AJ63">
        <f t="shared" si="2"/>
        <v>27</v>
      </c>
    </row>
    <row r="64" spans="1:36" x14ac:dyDescent="0.2">
      <c r="A64" s="104" t="s">
        <v>7</v>
      </c>
      <c r="B64" s="191"/>
      <c r="C64" s="186"/>
      <c r="D64" s="199"/>
      <c r="E64" s="100">
        <v>135114737</v>
      </c>
      <c r="F64" s="100">
        <v>2455700</v>
      </c>
      <c r="G64" s="101">
        <v>1592990</v>
      </c>
      <c r="H64" s="101">
        <v>6774777</v>
      </c>
      <c r="I64" s="101">
        <v>4038722</v>
      </c>
      <c r="J64" s="101">
        <v>3942582</v>
      </c>
      <c r="K64" s="101">
        <v>2579757</v>
      </c>
      <c r="L64" s="101">
        <v>3314828</v>
      </c>
      <c r="M64" s="101">
        <v>1082716</v>
      </c>
      <c r="N64" s="101">
        <v>1104965</v>
      </c>
      <c r="O64" s="101">
        <v>1000000</v>
      </c>
      <c r="P64" s="101">
        <v>1000000</v>
      </c>
      <c r="Q64" s="101">
        <v>11000000</v>
      </c>
      <c r="R64" s="101">
        <v>1050000</v>
      </c>
      <c r="S64" s="106">
        <v>25000</v>
      </c>
      <c r="T64" s="106">
        <v>84300</v>
      </c>
      <c r="U64" s="106">
        <v>79710</v>
      </c>
      <c r="V64" s="106">
        <v>9000</v>
      </c>
      <c r="W64" s="106"/>
      <c r="X64" s="186"/>
      <c r="Y64" s="186"/>
      <c r="Z64" s="186"/>
      <c r="AA64" s="186"/>
      <c r="AB64" s="186"/>
      <c r="AD64" s="104" t="s">
        <v>7</v>
      </c>
      <c r="AE64" s="9">
        <f ca="1">AnzahlBackgroundColor(E64:AB64)</f>
        <v>2</v>
      </c>
      <c r="AF64" s="16">
        <f t="shared" ca="1" si="16"/>
        <v>14</v>
      </c>
      <c r="AG64">
        <f t="shared" ca="1" si="17"/>
        <v>14.285714285714285</v>
      </c>
      <c r="AH64">
        <f ca="1">AE64*1</f>
        <v>2</v>
      </c>
      <c r="AJ64">
        <f t="shared" si="2"/>
        <v>27</v>
      </c>
    </row>
    <row r="65" spans="1:36" x14ac:dyDescent="0.2">
      <c r="A65" s="104" t="s">
        <v>8</v>
      </c>
      <c r="B65" s="194"/>
      <c r="C65" s="195"/>
      <c r="D65" s="200"/>
      <c r="E65" s="100">
        <v>90563110</v>
      </c>
      <c r="F65" s="101">
        <v>2566076</v>
      </c>
      <c r="G65" s="101">
        <v>3698186</v>
      </c>
      <c r="H65" s="101">
        <v>13077599</v>
      </c>
      <c r="I65" s="100">
        <v>5421340</v>
      </c>
      <c r="J65" s="101">
        <v>7615260</v>
      </c>
      <c r="K65" s="101">
        <v>5792003</v>
      </c>
      <c r="L65" s="101">
        <v>1030507</v>
      </c>
      <c r="M65" s="101">
        <v>1470285</v>
      </c>
      <c r="N65" s="101">
        <v>1053271</v>
      </c>
      <c r="O65" s="101">
        <v>2400000</v>
      </c>
      <c r="P65" s="101">
        <v>1000000</v>
      </c>
      <c r="Q65" s="101">
        <v>17000000</v>
      </c>
      <c r="R65" s="101">
        <v>1100000</v>
      </c>
      <c r="S65" s="101">
        <v>10675000</v>
      </c>
      <c r="T65" s="106">
        <v>84730</v>
      </c>
      <c r="U65" s="106">
        <v>83440</v>
      </c>
      <c r="V65" s="106">
        <v>9000</v>
      </c>
      <c r="W65" s="106"/>
      <c r="X65" s="186"/>
      <c r="Y65" s="186"/>
      <c r="Z65" s="186"/>
      <c r="AA65" s="186"/>
      <c r="AB65" s="186"/>
      <c r="AD65" s="104" t="s">
        <v>8</v>
      </c>
      <c r="AE65" s="9">
        <f ca="1">AnzahlBackgroundColor(E65:AB65)</f>
        <v>2</v>
      </c>
      <c r="AF65" s="16">
        <f t="shared" ca="1" si="16"/>
        <v>15</v>
      </c>
      <c r="AG65">
        <f ca="1">AE65/AF65*100</f>
        <v>13.333333333333334</v>
      </c>
      <c r="AH65">
        <f ca="1">AE65*2</f>
        <v>4</v>
      </c>
      <c r="AJ65">
        <f t="shared" si="2"/>
        <v>27</v>
      </c>
    </row>
    <row r="66" spans="1:36" x14ac:dyDescent="0.2">
      <c r="E66" s="121" t="s">
        <v>116</v>
      </c>
      <c r="F66" s="122" t="s">
        <v>117</v>
      </c>
      <c r="AD66" s="104" t="s">
        <v>75</v>
      </c>
      <c r="AE66" s="19">
        <f ca="1" xml:space="preserve"> AE58+AE59+AE60+AE61+AE62+AE63+AE64+AE65</f>
        <v>30</v>
      </c>
      <c r="AF66" s="19">
        <f ca="1" xml:space="preserve"> AF58+AF59+AF60+AF61+AF62+AF63+AF64+AF65</f>
        <v>117</v>
      </c>
      <c r="AG66" s="19">
        <f t="shared" ref="AG66" ca="1" si="18">AE66/AF66*100</f>
        <v>25.641025641025639</v>
      </c>
      <c r="AH66" s="19">
        <f ca="1" xml:space="preserve"> AH58+AH59+AH60+AH61+AH62+AH63+AH64+AH65</f>
        <v>10.46</v>
      </c>
      <c r="AJ66">
        <f t="shared" si="2"/>
        <v>27</v>
      </c>
    </row>
    <row r="67" spans="1:36" x14ac:dyDescent="0.2">
      <c r="B67" s="1" t="s">
        <v>43</v>
      </c>
      <c r="C67" s="1" t="s">
        <v>43</v>
      </c>
      <c r="D67" s="1" t="s">
        <v>43</v>
      </c>
      <c r="E67" s="1" t="s">
        <v>43</v>
      </c>
      <c r="F67" s="1" t="s">
        <v>43</v>
      </c>
      <c r="G67" s="1" t="s">
        <v>43</v>
      </c>
      <c r="H67" s="1" t="s">
        <v>43</v>
      </c>
      <c r="I67" s="1" t="s">
        <v>43</v>
      </c>
      <c r="J67" s="1" t="s">
        <v>43</v>
      </c>
      <c r="K67" s="1" t="s">
        <v>43</v>
      </c>
      <c r="L67" s="1" t="s">
        <v>43</v>
      </c>
      <c r="M67" s="1" t="s">
        <v>43</v>
      </c>
      <c r="N67" s="1" t="s">
        <v>43</v>
      </c>
      <c r="O67" s="1" t="s">
        <v>43</v>
      </c>
      <c r="P67" s="1" t="s">
        <v>43</v>
      </c>
      <c r="Q67" s="1" t="s">
        <v>43</v>
      </c>
      <c r="R67" s="1" t="s">
        <v>43</v>
      </c>
      <c r="S67" s="1" t="s">
        <v>43</v>
      </c>
      <c r="T67" s="1" t="s">
        <v>43</v>
      </c>
      <c r="U67" s="1" t="s">
        <v>43</v>
      </c>
      <c r="V67" s="1" t="s">
        <v>43</v>
      </c>
      <c r="W67" s="1" t="s">
        <v>43</v>
      </c>
      <c r="X67" s="1" t="s">
        <v>43</v>
      </c>
      <c r="Y67" s="1" t="s">
        <v>43</v>
      </c>
      <c r="Z67" s="1" t="s">
        <v>43</v>
      </c>
      <c r="AA67" s="1" t="s">
        <v>43</v>
      </c>
      <c r="AB67" s="1" t="s">
        <v>43</v>
      </c>
      <c r="AJ67">
        <f t="shared" si="2"/>
        <v>27</v>
      </c>
    </row>
    <row r="68" spans="1:36" x14ac:dyDescent="0.2">
      <c r="B68" s="4">
        <v>1999</v>
      </c>
      <c r="C68" s="4">
        <v>2000</v>
      </c>
      <c r="D68" s="4">
        <v>2001</v>
      </c>
      <c r="E68" s="4">
        <v>2002</v>
      </c>
      <c r="F68" s="4">
        <v>2003</v>
      </c>
      <c r="G68" s="4">
        <v>2004</v>
      </c>
      <c r="H68" s="4">
        <v>2005</v>
      </c>
      <c r="I68" s="4">
        <v>2006</v>
      </c>
      <c r="J68" s="4">
        <v>2007</v>
      </c>
      <c r="K68" s="4">
        <v>2008</v>
      </c>
      <c r="L68" s="4">
        <v>2009</v>
      </c>
      <c r="M68" s="4">
        <v>2010</v>
      </c>
      <c r="N68" s="4">
        <v>2011</v>
      </c>
      <c r="O68" s="4">
        <v>2012</v>
      </c>
      <c r="P68" s="4">
        <v>2013</v>
      </c>
      <c r="Q68" s="4">
        <v>2014</v>
      </c>
      <c r="R68" s="4">
        <v>2015</v>
      </c>
      <c r="S68" s="4">
        <v>2016</v>
      </c>
      <c r="T68" s="4">
        <v>2017</v>
      </c>
      <c r="U68" s="4">
        <v>2018</v>
      </c>
      <c r="V68" s="4">
        <v>2019</v>
      </c>
      <c r="W68" s="4">
        <v>2020</v>
      </c>
      <c r="X68" s="4">
        <v>2021</v>
      </c>
      <c r="Y68" s="4">
        <v>2022</v>
      </c>
      <c r="Z68" s="4">
        <v>2023</v>
      </c>
      <c r="AA68" s="4">
        <v>2024</v>
      </c>
      <c r="AB68" s="4">
        <v>2025</v>
      </c>
      <c r="AE68" t="s">
        <v>73</v>
      </c>
      <c r="AF68" s="4" t="s">
        <v>74</v>
      </c>
      <c r="AG68" s="4" t="s">
        <v>77</v>
      </c>
      <c r="AH68" t="s">
        <v>78</v>
      </c>
      <c r="AJ68">
        <f t="shared" ref="AJ68:AJ131" si="19">2025-1999+1</f>
        <v>27</v>
      </c>
    </row>
    <row r="69" spans="1:36" x14ac:dyDescent="0.2">
      <c r="A69" s="104" t="s">
        <v>1</v>
      </c>
      <c r="B69" s="187"/>
      <c r="C69" s="188"/>
      <c r="D69" s="188"/>
      <c r="E69" s="102">
        <v>1348599500</v>
      </c>
      <c r="F69" s="108">
        <v>9637000</v>
      </c>
      <c r="G69" s="102">
        <v>99925000</v>
      </c>
      <c r="H69" s="102">
        <v>179943900</v>
      </c>
      <c r="I69" s="103">
        <v>158951700</v>
      </c>
      <c r="J69" s="102">
        <v>214955490</v>
      </c>
      <c r="K69" s="103">
        <v>179956400</v>
      </c>
      <c r="L69" s="102">
        <v>174953900</v>
      </c>
      <c r="M69" s="103">
        <v>125448100</v>
      </c>
      <c r="N69" s="103">
        <v>133954500</v>
      </c>
      <c r="O69" s="102">
        <v>217959500</v>
      </c>
      <c r="P69" s="102">
        <v>250000000</v>
      </c>
      <c r="Q69" s="103">
        <v>150000000</v>
      </c>
      <c r="R69" s="103">
        <v>220000000</v>
      </c>
      <c r="S69" s="43">
        <v>160000000</v>
      </c>
      <c r="T69" s="43">
        <v>260000000</v>
      </c>
      <c r="U69" s="44">
        <v>20000</v>
      </c>
      <c r="V69" s="44">
        <v>40000</v>
      </c>
      <c r="W69" s="43">
        <v>20000</v>
      </c>
      <c r="X69" s="43"/>
      <c r="Y69" s="43"/>
      <c r="Z69" s="186"/>
      <c r="AA69" s="186"/>
      <c r="AB69" s="186"/>
      <c r="AD69" s="104" t="s">
        <v>1</v>
      </c>
      <c r="AE69" s="9">
        <f ca="1">AnzahlBackgroundColor(E69:AB69)</f>
        <v>7</v>
      </c>
      <c r="AF69" s="16">
        <f ca="1">AJ69-AnzahlBackgroundColor(B69:AB69)</f>
        <v>19</v>
      </c>
      <c r="AG69">
        <f ca="1">AE69/AF69*100</f>
        <v>36.84210526315789</v>
      </c>
      <c r="AH69">
        <f ca="1">AE69*0.01</f>
        <v>7.0000000000000007E-2</v>
      </c>
      <c r="AJ69">
        <f t="shared" si="19"/>
        <v>27</v>
      </c>
    </row>
    <row r="70" spans="1:36" x14ac:dyDescent="0.2">
      <c r="A70" s="104" t="s">
        <v>2</v>
      </c>
      <c r="B70" s="191"/>
      <c r="C70" s="186"/>
      <c r="D70" s="186"/>
      <c r="E70" s="102">
        <v>1098866250</v>
      </c>
      <c r="F70" s="124">
        <v>21555000</v>
      </c>
      <c r="G70" s="103">
        <v>119925000</v>
      </c>
      <c r="H70" s="103">
        <v>119943900</v>
      </c>
      <c r="I70" s="102">
        <v>195951700</v>
      </c>
      <c r="J70" s="103">
        <v>139955490</v>
      </c>
      <c r="K70" s="103">
        <v>134956400</v>
      </c>
      <c r="L70" s="102">
        <v>184953900</v>
      </c>
      <c r="M70" s="103">
        <v>120243400</v>
      </c>
      <c r="N70" s="103">
        <v>108954500</v>
      </c>
      <c r="O70" s="103">
        <v>79959500</v>
      </c>
      <c r="P70" s="102">
        <v>150000000</v>
      </c>
      <c r="Q70" s="102">
        <v>115000000</v>
      </c>
      <c r="R70" s="102">
        <v>120000000</v>
      </c>
      <c r="S70" s="43">
        <v>140000000</v>
      </c>
      <c r="T70" s="42">
        <v>150000000</v>
      </c>
      <c r="U70" s="44">
        <v>20000</v>
      </c>
      <c r="V70" s="44">
        <v>40000</v>
      </c>
      <c r="W70" s="43">
        <v>20000</v>
      </c>
      <c r="X70" s="43"/>
      <c r="Y70" s="43"/>
      <c r="Z70" s="186"/>
      <c r="AA70" s="186"/>
      <c r="AB70" s="186"/>
      <c r="AD70" s="104" t="s">
        <v>2</v>
      </c>
      <c r="AE70" s="9">
        <f ca="1">AnzahlBackgroundColor(E70:AB70)</f>
        <v>7</v>
      </c>
      <c r="AF70" s="16">
        <f t="shared" ref="AF70:AF76" ca="1" si="20">AJ70-AnzahlBackgroundColor(B70:AB70)</f>
        <v>19</v>
      </c>
      <c r="AG70">
        <f t="shared" ref="AG70:AG75" ca="1" si="21">AE70/AF70*100</f>
        <v>36.84210526315789</v>
      </c>
      <c r="AH70">
        <f ca="1">AE70*0.02</f>
        <v>0.14000000000000001</v>
      </c>
      <c r="AJ70">
        <f t="shared" si="19"/>
        <v>27</v>
      </c>
    </row>
    <row r="71" spans="1:36" x14ac:dyDescent="0.2">
      <c r="A71" s="104" t="s">
        <v>3</v>
      </c>
      <c r="B71" s="191"/>
      <c r="C71" s="186"/>
      <c r="D71" s="186"/>
      <c r="E71" s="102">
        <v>1341442204</v>
      </c>
      <c r="F71" s="108">
        <v>1844000</v>
      </c>
      <c r="G71" s="103">
        <v>9925000</v>
      </c>
      <c r="H71" s="102">
        <v>69943900</v>
      </c>
      <c r="I71" s="102">
        <v>118951700</v>
      </c>
      <c r="J71" s="102">
        <v>84955490</v>
      </c>
      <c r="K71" s="103">
        <v>89956400</v>
      </c>
      <c r="L71" s="103">
        <v>84953900</v>
      </c>
      <c r="M71" s="103">
        <v>67618100</v>
      </c>
      <c r="N71" s="102">
        <v>36954500</v>
      </c>
      <c r="O71" s="103">
        <v>75959500</v>
      </c>
      <c r="P71" s="102">
        <v>80000000</v>
      </c>
      <c r="Q71" s="103">
        <v>40000000</v>
      </c>
      <c r="R71" s="102">
        <v>30000000</v>
      </c>
      <c r="S71" s="43">
        <v>70000000</v>
      </c>
      <c r="T71" s="43">
        <v>80000000</v>
      </c>
      <c r="U71" s="42">
        <v>170000000</v>
      </c>
      <c r="V71" s="42">
        <v>90000000</v>
      </c>
      <c r="W71" s="43">
        <v>50000000</v>
      </c>
      <c r="X71" s="43"/>
      <c r="Y71" s="43"/>
      <c r="Z71" s="186"/>
      <c r="AA71" s="186"/>
      <c r="AB71" s="186"/>
      <c r="AD71" s="104" t="s">
        <v>3</v>
      </c>
      <c r="AE71" s="9">
        <f ca="1">AnzahlBackgroundColor(E71:AB71)</f>
        <v>9</v>
      </c>
      <c r="AF71" s="16">
        <f t="shared" ca="1" si="20"/>
        <v>21</v>
      </c>
      <c r="AG71">
        <f t="shared" ca="1" si="21"/>
        <v>42.857142857142854</v>
      </c>
      <c r="AH71">
        <f ca="1">AE71*0.05</f>
        <v>0.45</v>
      </c>
      <c r="AJ71">
        <f t="shared" si="19"/>
        <v>27</v>
      </c>
    </row>
    <row r="72" spans="1:36" x14ac:dyDescent="0.2">
      <c r="A72" s="104" t="s">
        <v>4</v>
      </c>
      <c r="B72" s="191"/>
      <c r="C72" s="186"/>
      <c r="D72" s="186"/>
      <c r="E72" s="102">
        <v>1142083000</v>
      </c>
      <c r="F72" s="109">
        <v>29714000</v>
      </c>
      <c r="G72" s="103">
        <v>4925000</v>
      </c>
      <c r="H72" s="102">
        <v>99943900</v>
      </c>
      <c r="I72" s="102">
        <v>179951700</v>
      </c>
      <c r="J72" s="102">
        <v>104955490</v>
      </c>
      <c r="K72" s="102">
        <v>104956400</v>
      </c>
      <c r="L72" s="102">
        <v>105953900</v>
      </c>
      <c r="M72" s="102">
        <v>91328400</v>
      </c>
      <c r="N72" s="102">
        <v>75954500</v>
      </c>
      <c r="O72" s="103">
        <v>99959500</v>
      </c>
      <c r="P72" s="102">
        <v>15000000</v>
      </c>
      <c r="Q72" s="103">
        <v>10000000</v>
      </c>
      <c r="R72" s="102">
        <v>10000000</v>
      </c>
      <c r="S72" s="43">
        <v>15000000</v>
      </c>
      <c r="T72" s="42">
        <v>40000000</v>
      </c>
      <c r="U72" s="42">
        <v>100000000</v>
      </c>
      <c r="V72" s="42">
        <v>110000000</v>
      </c>
      <c r="W72" s="43">
        <v>45000000</v>
      </c>
      <c r="X72" s="42"/>
      <c r="Y72" s="42"/>
      <c r="Z72" s="186"/>
      <c r="AA72" s="186"/>
      <c r="AB72" s="186"/>
      <c r="AD72" s="104" t="s">
        <v>4</v>
      </c>
      <c r="AE72" s="9">
        <f ca="1">AnzahlBackgroundColor(E72:AB72)</f>
        <v>16</v>
      </c>
      <c r="AF72" s="16">
        <f t="shared" ca="1" si="20"/>
        <v>21</v>
      </c>
      <c r="AG72">
        <f t="shared" ca="1" si="21"/>
        <v>76.19047619047619</v>
      </c>
      <c r="AH72">
        <f ca="1">AE72*0.1</f>
        <v>1.6</v>
      </c>
      <c r="AJ72">
        <f t="shared" si="19"/>
        <v>27</v>
      </c>
    </row>
    <row r="73" spans="1:36" x14ac:dyDescent="0.2">
      <c r="A73" s="104" t="s">
        <v>5</v>
      </c>
      <c r="B73" s="191"/>
      <c r="C73" s="186"/>
      <c r="D73" s="186"/>
      <c r="E73" s="102">
        <v>1411536000</v>
      </c>
      <c r="F73" s="109">
        <v>25893000</v>
      </c>
      <c r="G73" s="103">
        <v>4925000</v>
      </c>
      <c r="H73" s="103">
        <v>4943900</v>
      </c>
      <c r="I73" s="103">
        <v>4951700</v>
      </c>
      <c r="J73" s="103">
        <v>4955490</v>
      </c>
      <c r="K73" s="103">
        <v>4956400</v>
      </c>
      <c r="L73" s="102">
        <v>59953900</v>
      </c>
      <c r="M73" s="102">
        <v>57787000</v>
      </c>
      <c r="N73" s="102">
        <v>66954500</v>
      </c>
      <c r="O73" s="103">
        <v>4959500</v>
      </c>
      <c r="P73" s="102">
        <v>15000000</v>
      </c>
      <c r="Q73" s="103">
        <v>10000000</v>
      </c>
      <c r="R73" s="103">
        <v>5000000</v>
      </c>
      <c r="S73" s="43">
        <v>5000000</v>
      </c>
      <c r="T73" s="42">
        <v>5000000</v>
      </c>
      <c r="U73" s="43">
        <v>51000000</v>
      </c>
      <c r="V73" s="42">
        <v>85000000</v>
      </c>
      <c r="W73" s="42">
        <v>20000000</v>
      </c>
      <c r="X73" s="43"/>
      <c r="Y73" s="43"/>
      <c r="Z73" s="186"/>
      <c r="AA73" s="186"/>
      <c r="AB73" s="186"/>
      <c r="AD73" s="104" t="s">
        <v>5</v>
      </c>
      <c r="AE73" s="9">
        <f ca="1">AnzahlBackgroundColor(E73:AB73)</f>
        <v>9</v>
      </c>
      <c r="AF73" s="16">
        <f t="shared" ca="1" si="20"/>
        <v>21</v>
      </c>
      <c r="AG73">
        <f t="shared" ca="1" si="21"/>
        <v>42.857142857142854</v>
      </c>
      <c r="AH73">
        <f ca="1">AE73*0.2</f>
        <v>1.8</v>
      </c>
      <c r="AJ73">
        <f t="shared" si="19"/>
        <v>27</v>
      </c>
    </row>
    <row r="74" spans="1:36" x14ac:dyDescent="0.2">
      <c r="A74" s="104" t="s">
        <v>6</v>
      </c>
      <c r="B74" s="191"/>
      <c r="C74" s="186"/>
      <c r="D74" s="186"/>
      <c r="E74" s="102">
        <v>1136418000</v>
      </c>
      <c r="F74" s="109">
        <v>44563000</v>
      </c>
      <c r="G74" s="102">
        <v>4925000</v>
      </c>
      <c r="H74" s="103">
        <v>4943900</v>
      </c>
      <c r="I74" s="102">
        <v>4951700</v>
      </c>
      <c r="J74" s="103">
        <v>4955490</v>
      </c>
      <c r="K74" s="103">
        <v>4956400</v>
      </c>
      <c r="L74" s="103">
        <v>2453900</v>
      </c>
      <c r="M74" s="102">
        <v>9209800</v>
      </c>
      <c r="N74" s="103">
        <v>4954500</v>
      </c>
      <c r="O74" s="102">
        <v>4959500</v>
      </c>
      <c r="P74" s="103">
        <v>5000000</v>
      </c>
      <c r="Q74" s="103">
        <v>5000000</v>
      </c>
      <c r="R74" s="103">
        <v>5000000</v>
      </c>
      <c r="S74" s="42">
        <v>4000000</v>
      </c>
      <c r="T74" s="43">
        <v>5000000</v>
      </c>
      <c r="U74" s="43">
        <v>2000000</v>
      </c>
      <c r="V74" s="43">
        <v>2000000</v>
      </c>
      <c r="W74" s="43">
        <v>20000000</v>
      </c>
      <c r="X74" s="42"/>
      <c r="Y74" s="43"/>
      <c r="Z74" s="186"/>
      <c r="AA74" s="186"/>
      <c r="AB74" s="186"/>
      <c r="AD74" s="104" t="s">
        <v>6</v>
      </c>
      <c r="AE74" s="9">
        <f ca="1">AnzahlBackgroundColor(E74:AB74)</f>
        <v>8</v>
      </c>
      <c r="AF74" s="16">
        <f t="shared" ca="1" si="20"/>
        <v>21</v>
      </c>
      <c r="AG74">
        <f t="shared" ca="1" si="21"/>
        <v>38.095238095238095</v>
      </c>
      <c r="AH74">
        <f ca="1">AE74*0.5</f>
        <v>4</v>
      </c>
      <c r="AJ74">
        <f t="shared" si="19"/>
        <v>27</v>
      </c>
    </row>
    <row r="75" spans="1:36" x14ac:dyDescent="0.2">
      <c r="A75" s="104" t="s">
        <v>7</v>
      </c>
      <c r="B75" s="191"/>
      <c r="C75" s="186"/>
      <c r="D75" s="186"/>
      <c r="E75" s="102">
        <v>965725300</v>
      </c>
      <c r="F75" s="109">
        <v>66230000</v>
      </c>
      <c r="G75" s="103">
        <v>4925000</v>
      </c>
      <c r="H75" s="103">
        <v>4943900</v>
      </c>
      <c r="I75" s="102">
        <v>107951700</v>
      </c>
      <c r="J75" s="102">
        <v>134955490</v>
      </c>
      <c r="K75" s="102">
        <v>134956400</v>
      </c>
      <c r="L75" s="102">
        <v>144953900</v>
      </c>
      <c r="M75" s="102">
        <v>96533100</v>
      </c>
      <c r="N75" s="102">
        <v>87954500</v>
      </c>
      <c r="O75" s="102">
        <v>4959500</v>
      </c>
      <c r="P75" s="102">
        <v>5000000</v>
      </c>
      <c r="Q75" s="103">
        <v>5000000</v>
      </c>
      <c r="R75" s="103">
        <v>5000000</v>
      </c>
      <c r="S75" s="43">
        <v>3000000</v>
      </c>
      <c r="T75" s="43">
        <v>3000000</v>
      </c>
      <c r="U75" s="42">
        <v>1000000</v>
      </c>
      <c r="V75" s="43">
        <v>1000000</v>
      </c>
      <c r="W75" s="43">
        <v>1000000</v>
      </c>
      <c r="X75" s="43"/>
      <c r="Y75" s="43"/>
      <c r="Z75" s="186"/>
      <c r="AA75" s="186"/>
      <c r="AB75" s="186"/>
      <c r="AD75" s="104" t="s">
        <v>7</v>
      </c>
      <c r="AE75" s="9">
        <f ca="1">AnzahlBackgroundColor(E75:AB75)</f>
        <v>11</v>
      </c>
      <c r="AF75" s="16">
        <f t="shared" ca="1" si="20"/>
        <v>21</v>
      </c>
      <c r="AG75">
        <f t="shared" ca="1" si="21"/>
        <v>52.380952380952387</v>
      </c>
      <c r="AH75">
        <f ca="1">AE75*1</f>
        <v>11</v>
      </c>
      <c r="AJ75">
        <f t="shared" si="19"/>
        <v>27</v>
      </c>
    </row>
    <row r="76" spans="1:36" x14ac:dyDescent="0.2">
      <c r="A76" s="104" t="s">
        <v>8</v>
      </c>
      <c r="B76" s="194"/>
      <c r="C76" s="195"/>
      <c r="D76" s="195"/>
      <c r="E76" s="102">
        <v>463402200</v>
      </c>
      <c r="F76" s="109">
        <v>36098000</v>
      </c>
      <c r="G76" s="102">
        <v>6925000</v>
      </c>
      <c r="H76" s="102">
        <v>61943900</v>
      </c>
      <c r="I76" s="103">
        <v>9951700</v>
      </c>
      <c r="J76" s="103">
        <v>4955490</v>
      </c>
      <c r="K76" s="103">
        <v>2456400</v>
      </c>
      <c r="L76" s="103">
        <v>1953900</v>
      </c>
      <c r="M76" s="103">
        <v>5788100</v>
      </c>
      <c r="N76" s="102">
        <v>13954500</v>
      </c>
      <c r="O76" s="103">
        <v>26959500</v>
      </c>
      <c r="P76" s="103">
        <v>10000000</v>
      </c>
      <c r="Q76" s="102">
        <v>16000000</v>
      </c>
      <c r="R76" s="206"/>
      <c r="S76" s="43">
        <v>10000000</v>
      </c>
      <c r="T76" s="42">
        <v>2000000</v>
      </c>
      <c r="U76" s="42">
        <v>24000000</v>
      </c>
      <c r="V76" s="43">
        <v>12000000</v>
      </c>
      <c r="W76" s="42">
        <v>14000000</v>
      </c>
      <c r="X76" s="43"/>
      <c r="Y76" s="43"/>
      <c r="Z76" s="186"/>
      <c r="AA76" s="186"/>
      <c r="AB76" s="186"/>
      <c r="AD76" s="104" t="s">
        <v>8</v>
      </c>
      <c r="AE76" s="9">
        <f ca="1">AnzahlBackgroundColor(E76:AB76)</f>
        <v>9</v>
      </c>
      <c r="AF76" s="16">
        <f t="shared" ca="1" si="20"/>
        <v>20</v>
      </c>
      <c r="AG76">
        <f ca="1">AE76/AF76*100</f>
        <v>45</v>
      </c>
      <c r="AH76">
        <f ca="1">AE76*2</f>
        <v>18</v>
      </c>
      <c r="AI76" t="s">
        <v>194</v>
      </c>
      <c r="AJ76">
        <f t="shared" si="19"/>
        <v>27</v>
      </c>
    </row>
    <row r="77" spans="1:36" x14ac:dyDescent="0.2">
      <c r="E77" s="121" t="s">
        <v>116</v>
      </c>
      <c r="F77" s="122" t="s">
        <v>117</v>
      </c>
      <c r="R77" t="s">
        <v>164</v>
      </c>
      <c r="AD77" s="104" t="s">
        <v>75</v>
      </c>
      <c r="AE77" s="19">
        <f ca="1" xml:space="preserve"> AE69+AE70+AE71+AE72+AE73+AE74+AE75+AE76</f>
        <v>76</v>
      </c>
      <c r="AF77" s="19">
        <f ca="1" xml:space="preserve"> AF69+AF70+AF71+AF72+AF73+AF74+AF75+AF76</f>
        <v>163</v>
      </c>
      <c r="AG77" s="19">
        <f t="shared" ref="AG77" ca="1" si="22">AE77/AF77*100</f>
        <v>46.625766871165638</v>
      </c>
      <c r="AH77" s="19">
        <f ca="1" xml:space="preserve"> AH69+AH70+AH71+AH72+AH73+AH74+AH75+AH76</f>
        <v>37.06</v>
      </c>
      <c r="AJ77">
        <f t="shared" si="19"/>
        <v>27</v>
      </c>
    </row>
    <row r="78" spans="1:36" x14ac:dyDescent="0.2">
      <c r="B78" s="1" t="s">
        <v>207</v>
      </c>
      <c r="C78" s="1" t="s">
        <v>207</v>
      </c>
      <c r="D78" s="1" t="s">
        <v>207</v>
      </c>
      <c r="E78" s="1" t="s">
        <v>207</v>
      </c>
      <c r="F78" s="1" t="s">
        <v>207</v>
      </c>
      <c r="G78" s="1" t="s">
        <v>207</v>
      </c>
      <c r="H78" s="1" t="s">
        <v>207</v>
      </c>
      <c r="I78" s="1" t="s">
        <v>207</v>
      </c>
      <c r="J78" s="1" t="s">
        <v>207</v>
      </c>
      <c r="K78" s="1" t="s">
        <v>207</v>
      </c>
      <c r="L78" s="1" t="s">
        <v>207</v>
      </c>
      <c r="M78" s="1" t="s">
        <v>207</v>
      </c>
      <c r="N78" s="1" t="s">
        <v>207</v>
      </c>
      <c r="O78" s="1" t="s">
        <v>207</v>
      </c>
      <c r="P78" s="1" t="s">
        <v>207</v>
      </c>
      <c r="Q78" s="1" t="s">
        <v>207</v>
      </c>
      <c r="R78" s="1" t="s">
        <v>207</v>
      </c>
      <c r="S78" s="1" t="s">
        <v>207</v>
      </c>
      <c r="T78" s="1" t="s">
        <v>207</v>
      </c>
      <c r="U78" s="1" t="s">
        <v>207</v>
      </c>
      <c r="V78" s="1" t="s">
        <v>207</v>
      </c>
      <c r="W78" s="1" t="s">
        <v>207</v>
      </c>
      <c r="X78" s="1" t="s">
        <v>207</v>
      </c>
      <c r="Y78" s="1" t="s">
        <v>207</v>
      </c>
      <c r="Z78" s="1" t="s">
        <v>207</v>
      </c>
      <c r="AA78" s="1" t="s">
        <v>207</v>
      </c>
      <c r="AB78" s="1" t="s">
        <v>207</v>
      </c>
      <c r="AJ78">
        <f t="shared" si="19"/>
        <v>27</v>
      </c>
    </row>
    <row r="79" spans="1:36" x14ac:dyDescent="0.2">
      <c r="B79" s="4">
        <v>1999</v>
      </c>
      <c r="C79" s="4">
        <v>2000</v>
      </c>
      <c r="D79" s="4">
        <v>2001</v>
      </c>
      <c r="E79" s="4">
        <v>2002</v>
      </c>
      <c r="F79" s="4">
        <v>2003</v>
      </c>
      <c r="G79" s="4">
        <v>2004</v>
      </c>
      <c r="H79" s="4">
        <v>2005</v>
      </c>
      <c r="I79" s="4">
        <v>2006</v>
      </c>
      <c r="J79" s="4">
        <v>2007</v>
      </c>
      <c r="K79" s="4">
        <v>2008</v>
      </c>
      <c r="L79" s="4">
        <v>2009</v>
      </c>
      <c r="M79" s="4">
        <v>2010</v>
      </c>
      <c r="N79" s="4">
        <v>2011</v>
      </c>
      <c r="O79" s="4">
        <v>2012</v>
      </c>
      <c r="P79" s="4">
        <v>2013</v>
      </c>
      <c r="Q79" s="4">
        <v>2014</v>
      </c>
      <c r="R79" s="4">
        <v>2015</v>
      </c>
      <c r="S79" s="4">
        <v>2016</v>
      </c>
      <c r="T79" s="4">
        <v>2017</v>
      </c>
      <c r="U79" s="4">
        <v>2018</v>
      </c>
      <c r="V79" s="4">
        <v>2019</v>
      </c>
      <c r="W79" s="4">
        <v>2020</v>
      </c>
      <c r="X79" s="4">
        <v>2021</v>
      </c>
      <c r="Y79" s="4">
        <v>2022</v>
      </c>
      <c r="Z79" s="4">
        <v>2023</v>
      </c>
      <c r="AA79" s="4">
        <v>2024</v>
      </c>
      <c r="AB79" s="4">
        <v>2025</v>
      </c>
      <c r="AE79" t="s">
        <v>73</v>
      </c>
      <c r="AF79" s="4" t="s">
        <v>74</v>
      </c>
      <c r="AG79" s="4" t="s">
        <v>77</v>
      </c>
      <c r="AH79" t="s">
        <v>78</v>
      </c>
      <c r="AJ79">
        <f t="shared" si="19"/>
        <v>27</v>
      </c>
    </row>
    <row r="80" spans="1:36" x14ac:dyDescent="0.2">
      <c r="A80" s="104" t="s">
        <v>1</v>
      </c>
      <c r="B80" s="6"/>
      <c r="C80" s="6"/>
      <c r="D80" s="6"/>
      <c r="E80" s="231"/>
      <c r="F80" s="261"/>
      <c r="G80" s="231"/>
      <c r="H80" s="231"/>
      <c r="I80" s="231"/>
      <c r="J80" s="231"/>
      <c r="K80" s="231"/>
      <c r="L80" s="231"/>
      <c r="M80" s="231"/>
      <c r="N80" s="231"/>
      <c r="O80" s="231"/>
      <c r="P80" s="231"/>
      <c r="Q80" s="231"/>
      <c r="R80" s="231"/>
      <c r="S80" s="44"/>
      <c r="T80" s="44"/>
      <c r="U80" s="44"/>
      <c r="V80" s="44"/>
      <c r="W80" s="44"/>
      <c r="X80" s="44"/>
      <c r="Y80" s="44"/>
      <c r="Z80" s="43"/>
      <c r="AA80" s="44"/>
      <c r="AB80" s="44"/>
      <c r="AD80" s="104" t="s">
        <v>1</v>
      </c>
      <c r="AE80" s="9">
        <f ca="1">AnzahlBackgroundColor(E80:AB80)</f>
        <v>0</v>
      </c>
      <c r="AF80" s="16">
        <f ca="1">AJ80-AnzahlBackgroundColor(B80:AB80)</f>
        <v>1</v>
      </c>
      <c r="AG80">
        <f ca="1">AE80/AF80*100</f>
        <v>0</v>
      </c>
      <c r="AH80">
        <f ca="1">AE80*0.01</f>
        <v>0</v>
      </c>
      <c r="AJ80">
        <f t="shared" si="19"/>
        <v>27</v>
      </c>
    </row>
    <row r="81" spans="1:36" x14ac:dyDescent="0.2">
      <c r="A81" s="104" t="s">
        <v>2</v>
      </c>
      <c r="B81" s="6"/>
      <c r="C81" s="6"/>
      <c r="D81" s="6"/>
      <c r="E81" s="231"/>
      <c r="F81" s="262"/>
      <c r="G81" s="231"/>
      <c r="H81" s="231"/>
      <c r="I81" s="231"/>
      <c r="J81" s="231"/>
      <c r="K81" s="231"/>
      <c r="L81" s="231"/>
      <c r="M81" s="231"/>
      <c r="N81" s="231"/>
      <c r="O81" s="231"/>
      <c r="P81" s="231"/>
      <c r="Q81" s="231"/>
      <c r="R81" s="231"/>
      <c r="S81" s="44"/>
      <c r="T81" s="44"/>
      <c r="U81" s="44"/>
      <c r="V81" s="44"/>
      <c r="W81" s="44"/>
      <c r="X81" s="44"/>
      <c r="Y81" s="44"/>
      <c r="Z81" s="43"/>
      <c r="AA81" s="44"/>
      <c r="AB81" s="44"/>
      <c r="AD81" s="104" t="s">
        <v>2</v>
      </c>
      <c r="AE81" s="9">
        <f ca="1">AnzahlBackgroundColor(E81:AB81)</f>
        <v>0</v>
      </c>
      <c r="AF81" s="16">
        <f t="shared" ref="AF81:AF87" ca="1" si="23">AJ81-AnzahlBackgroundColor(B81:AB81)</f>
        <v>1</v>
      </c>
      <c r="AG81">
        <f t="shared" ref="AG81:AG86" ca="1" si="24">AE81/AF81*100</f>
        <v>0</v>
      </c>
      <c r="AH81">
        <f ca="1">AE81*0.02</f>
        <v>0</v>
      </c>
      <c r="AJ81">
        <f t="shared" si="19"/>
        <v>27</v>
      </c>
    </row>
    <row r="82" spans="1:36" x14ac:dyDescent="0.2">
      <c r="A82" s="104" t="s">
        <v>3</v>
      </c>
      <c r="B82" s="6"/>
      <c r="C82" s="6"/>
      <c r="D82" s="6"/>
      <c r="E82" s="231"/>
      <c r="F82" s="261"/>
      <c r="G82" s="231"/>
      <c r="H82" s="231"/>
      <c r="I82" s="231"/>
      <c r="J82" s="231"/>
      <c r="K82" s="231"/>
      <c r="L82" s="231"/>
      <c r="M82" s="231"/>
      <c r="N82" s="231"/>
      <c r="O82" s="231"/>
      <c r="P82" s="231"/>
      <c r="Q82" s="231"/>
      <c r="R82" s="231"/>
      <c r="S82" s="44"/>
      <c r="T82" s="44"/>
      <c r="U82" s="44"/>
      <c r="V82" s="44"/>
      <c r="W82" s="44"/>
      <c r="X82" s="44"/>
      <c r="Y82" s="44"/>
      <c r="Z82" s="43"/>
      <c r="AA82" s="44"/>
      <c r="AB82" s="44"/>
      <c r="AD82" s="104" t="s">
        <v>3</v>
      </c>
      <c r="AE82" s="9">
        <f ca="1">AnzahlBackgroundColor(E82:AB82)</f>
        <v>0</v>
      </c>
      <c r="AF82" s="16">
        <f t="shared" ca="1" si="23"/>
        <v>1</v>
      </c>
      <c r="AG82">
        <f t="shared" ca="1" si="24"/>
        <v>0</v>
      </c>
      <c r="AH82">
        <f ca="1">AE82*0.05</f>
        <v>0</v>
      </c>
      <c r="AJ82">
        <f t="shared" si="19"/>
        <v>27</v>
      </c>
    </row>
    <row r="83" spans="1:36" x14ac:dyDescent="0.2">
      <c r="A83" s="104" t="s">
        <v>4</v>
      </c>
      <c r="B83" s="6"/>
      <c r="C83" s="6"/>
      <c r="D83" s="6"/>
      <c r="E83" s="231"/>
      <c r="F83" s="261"/>
      <c r="G83" s="231"/>
      <c r="H83" s="231"/>
      <c r="I83" s="231"/>
      <c r="J83" s="231"/>
      <c r="K83" s="231"/>
      <c r="L83" s="231"/>
      <c r="M83" s="231"/>
      <c r="N83" s="231"/>
      <c r="O83" s="231"/>
      <c r="P83" s="231"/>
      <c r="Q83" s="231"/>
      <c r="R83" s="231"/>
      <c r="S83" s="44"/>
      <c r="T83" s="44"/>
      <c r="U83" s="44"/>
      <c r="V83" s="44"/>
      <c r="W83" s="44"/>
      <c r="X83" s="44"/>
      <c r="Y83" s="44"/>
      <c r="Z83" s="42"/>
      <c r="AA83" s="44"/>
      <c r="AB83" s="44"/>
      <c r="AD83" s="104" t="s">
        <v>4</v>
      </c>
      <c r="AE83" s="9">
        <f ca="1">AnzahlBackgroundColor(E83:AB83)</f>
        <v>1</v>
      </c>
      <c r="AF83" s="16">
        <f t="shared" ca="1" si="23"/>
        <v>1</v>
      </c>
      <c r="AG83">
        <f t="shared" ca="1" si="24"/>
        <v>100</v>
      </c>
      <c r="AH83">
        <f ca="1">AE83*0.1</f>
        <v>0.1</v>
      </c>
      <c r="AJ83">
        <f t="shared" si="19"/>
        <v>27</v>
      </c>
    </row>
    <row r="84" spans="1:36" x14ac:dyDescent="0.2">
      <c r="A84" s="104" t="s">
        <v>5</v>
      </c>
      <c r="B84" s="6"/>
      <c r="C84" s="6"/>
      <c r="D84" s="6"/>
      <c r="E84" s="231"/>
      <c r="F84" s="261"/>
      <c r="G84" s="231"/>
      <c r="H84" s="231"/>
      <c r="I84" s="231"/>
      <c r="J84" s="231"/>
      <c r="K84" s="231"/>
      <c r="L84" s="231"/>
      <c r="M84" s="231"/>
      <c r="N84" s="231"/>
      <c r="O84" s="231"/>
      <c r="P84" s="231"/>
      <c r="Q84" s="231"/>
      <c r="R84" s="231"/>
      <c r="S84" s="44"/>
      <c r="T84" s="44"/>
      <c r="U84" s="44"/>
      <c r="V84" s="44"/>
      <c r="W84" s="44"/>
      <c r="X84" s="44"/>
      <c r="Y84" s="44"/>
      <c r="Z84" s="42"/>
      <c r="AA84" s="44"/>
      <c r="AB84" s="44"/>
      <c r="AD84" s="104" t="s">
        <v>5</v>
      </c>
      <c r="AE84" s="9">
        <f ca="1">AnzahlBackgroundColor(E84:AB84)</f>
        <v>1</v>
      </c>
      <c r="AF84" s="16">
        <f t="shared" ca="1" si="23"/>
        <v>1</v>
      </c>
      <c r="AG84">
        <f t="shared" ca="1" si="24"/>
        <v>100</v>
      </c>
      <c r="AH84">
        <f ca="1">AE84*0.2</f>
        <v>0.2</v>
      </c>
      <c r="AJ84">
        <f t="shared" si="19"/>
        <v>27</v>
      </c>
    </row>
    <row r="85" spans="1:36" x14ac:dyDescent="0.2">
      <c r="A85" s="104" t="s">
        <v>6</v>
      </c>
      <c r="B85" s="6"/>
      <c r="C85" s="6"/>
      <c r="D85" s="6"/>
      <c r="E85" s="231"/>
      <c r="F85" s="261"/>
      <c r="G85" s="231"/>
      <c r="H85" s="231"/>
      <c r="I85" s="231"/>
      <c r="J85" s="231"/>
      <c r="K85" s="231"/>
      <c r="L85" s="231"/>
      <c r="M85" s="231"/>
      <c r="N85" s="231"/>
      <c r="O85" s="231"/>
      <c r="P85" s="231"/>
      <c r="Q85" s="231"/>
      <c r="R85" s="231"/>
      <c r="S85" s="44"/>
      <c r="T85" s="44"/>
      <c r="U85" s="44"/>
      <c r="V85" s="44"/>
      <c r="W85" s="44"/>
      <c r="X85" s="44"/>
      <c r="Y85" s="44"/>
      <c r="Z85" s="43"/>
      <c r="AA85" s="44"/>
      <c r="AB85" s="44"/>
      <c r="AD85" s="104" t="s">
        <v>6</v>
      </c>
      <c r="AE85" s="9">
        <f ca="1">AnzahlBackgroundColor(E85:AB85)</f>
        <v>0</v>
      </c>
      <c r="AF85" s="16">
        <f t="shared" ca="1" si="23"/>
        <v>1</v>
      </c>
      <c r="AG85">
        <f t="shared" ca="1" si="24"/>
        <v>0</v>
      </c>
      <c r="AH85">
        <f ca="1">AE85*0.5</f>
        <v>0</v>
      </c>
      <c r="AJ85">
        <f t="shared" si="19"/>
        <v>27</v>
      </c>
    </row>
    <row r="86" spans="1:36" x14ac:dyDescent="0.2">
      <c r="A86" s="104" t="s">
        <v>7</v>
      </c>
      <c r="B86" s="6"/>
      <c r="C86" s="6"/>
      <c r="D86" s="6"/>
      <c r="E86" s="231"/>
      <c r="F86" s="261"/>
      <c r="G86" s="231"/>
      <c r="H86" s="231"/>
      <c r="I86" s="231"/>
      <c r="J86" s="231"/>
      <c r="K86" s="231"/>
      <c r="L86" s="231"/>
      <c r="M86" s="231"/>
      <c r="N86" s="231"/>
      <c r="O86" s="231"/>
      <c r="P86" s="231"/>
      <c r="Q86" s="231"/>
      <c r="R86" s="231"/>
      <c r="S86" s="44"/>
      <c r="T86" s="44"/>
      <c r="U86" s="44"/>
      <c r="V86" s="44"/>
      <c r="W86" s="44"/>
      <c r="X86" s="44"/>
      <c r="Y86" s="44"/>
      <c r="Z86" s="43"/>
      <c r="AA86" s="44"/>
      <c r="AB86" s="44"/>
      <c r="AD86" s="104" t="s">
        <v>7</v>
      </c>
      <c r="AE86" s="9">
        <f ca="1">AnzahlBackgroundColor(E86:AB86)</f>
        <v>0</v>
      </c>
      <c r="AF86" s="16">
        <f t="shared" ca="1" si="23"/>
        <v>1</v>
      </c>
      <c r="AG86">
        <f t="shared" ca="1" si="24"/>
        <v>0</v>
      </c>
      <c r="AH86">
        <f ca="1">AE86*1</f>
        <v>0</v>
      </c>
      <c r="AJ86">
        <f t="shared" si="19"/>
        <v>27</v>
      </c>
    </row>
    <row r="87" spans="1:36" x14ac:dyDescent="0.2">
      <c r="A87" s="104" t="s">
        <v>8</v>
      </c>
      <c r="B87" s="6"/>
      <c r="C87" s="6"/>
      <c r="D87" s="6"/>
      <c r="E87" s="231"/>
      <c r="F87" s="261"/>
      <c r="G87" s="231"/>
      <c r="H87" s="231"/>
      <c r="I87" s="231"/>
      <c r="J87" s="231"/>
      <c r="K87" s="231"/>
      <c r="L87" s="231"/>
      <c r="M87" s="231"/>
      <c r="N87" s="231"/>
      <c r="O87" s="231"/>
      <c r="P87" s="231"/>
      <c r="Q87" s="231"/>
      <c r="R87" s="206"/>
      <c r="S87" s="44"/>
      <c r="T87" s="44"/>
      <c r="U87" s="44"/>
      <c r="V87" s="44"/>
      <c r="W87" s="44"/>
      <c r="X87" s="44"/>
      <c r="Y87" s="44"/>
      <c r="Z87" s="43"/>
      <c r="AA87" s="44"/>
      <c r="AB87" s="44"/>
      <c r="AD87" s="104" t="s">
        <v>8</v>
      </c>
      <c r="AE87" s="9">
        <f ca="1">AnzahlBackgroundColor(E87:AB87)</f>
        <v>0</v>
      </c>
      <c r="AF87" s="16">
        <f t="shared" ca="1" si="23"/>
        <v>1</v>
      </c>
      <c r="AG87">
        <f ca="1">AE87/AF87*100</f>
        <v>0</v>
      </c>
      <c r="AH87">
        <f ca="1">AE87*2</f>
        <v>0</v>
      </c>
      <c r="AI87" t="s">
        <v>194</v>
      </c>
      <c r="AJ87">
        <f t="shared" si="19"/>
        <v>27</v>
      </c>
    </row>
    <row r="88" spans="1:36" x14ac:dyDescent="0.2">
      <c r="E88" s="84"/>
      <c r="F88" s="84"/>
      <c r="R88" t="s">
        <v>164</v>
      </c>
      <c r="AD88" s="104" t="s">
        <v>75</v>
      </c>
      <c r="AE88" s="19">
        <f ca="1" xml:space="preserve"> AE80+AE81+AE82+AE83+AE84+AE85+AE86+AE87</f>
        <v>2</v>
      </c>
      <c r="AF88" s="19">
        <f ca="1" xml:space="preserve"> AF80+AF81+AF82+AF83+AF84+AF85+AF86+AF87</f>
        <v>8</v>
      </c>
      <c r="AG88" s="19">
        <f t="shared" ref="AG88" ca="1" si="25">AE88/AF88*100</f>
        <v>25</v>
      </c>
      <c r="AH88" s="19">
        <f ca="1" xml:space="preserve"> AH80+AH81+AH82+AH83+AH84+AH85+AH86+AH87</f>
        <v>0.30000000000000004</v>
      </c>
      <c r="AJ88">
        <f t="shared" si="19"/>
        <v>27</v>
      </c>
    </row>
    <row r="89" spans="1:36" x14ac:dyDescent="0.2">
      <c r="B89" s="1" t="s">
        <v>100</v>
      </c>
      <c r="C89" s="1" t="s">
        <v>100</v>
      </c>
      <c r="D89" s="1" t="s">
        <v>100</v>
      </c>
      <c r="E89" s="1" t="s">
        <v>100</v>
      </c>
      <c r="F89" s="1" t="s">
        <v>100</v>
      </c>
      <c r="G89" s="1" t="s">
        <v>100</v>
      </c>
      <c r="H89" s="1" t="s">
        <v>100</v>
      </c>
      <c r="I89" s="1" t="s">
        <v>100</v>
      </c>
      <c r="J89" s="1" t="s">
        <v>100</v>
      </c>
      <c r="K89" s="1" t="s">
        <v>100</v>
      </c>
      <c r="L89" s="1" t="s">
        <v>100</v>
      </c>
      <c r="M89" s="1" t="s">
        <v>100</v>
      </c>
      <c r="N89" s="1" t="s">
        <v>100</v>
      </c>
      <c r="O89" s="1" t="s">
        <v>100</v>
      </c>
      <c r="P89" s="1" t="s">
        <v>100</v>
      </c>
      <c r="Q89" s="1" t="s">
        <v>100</v>
      </c>
      <c r="R89" s="1" t="s">
        <v>100</v>
      </c>
      <c r="S89" s="1" t="s">
        <v>100</v>
      </c>
      <c r="T89" s="1" t="s">
        <v>100</v>
      </c>
      <c r="U89" s="1" t="s">
        <v>100</v>
      </c>
      <c r="V89" s="1" t="s">
        <v>100</v>
      </c>
      <c r="W89" s="1" t="s">
        <v>100</v>
      </c>
      <c r="X89" s="1" t="s">
        <v>100</v>
      </c>
      <c r="Y89" s="1" t="s">
        <v>100</v>
      </c>
      <c r="Z89" s="1" t="s">
        <v>100</v>
      </c>
      <c r="AA89" s="1" t="s">
        <v>100</v>
      </c>
      <c r="AB89" s="1" t="s">
        <v>100</v>
      </c>
      <c r="AJ89">
        <f t="shared" si="19"/>
        <v>27</v>
      </c>
    </row>
    <row r="90" spans="1:36" x14ac:dyDescent="0.2">
      <c r="B90" s="4">
        <v>1999</v>
      </c>
      <c r="C90" s="4">
        <v>2000</v>
      </c>
      <c r="D90" s="4">
        <v>2001</v>
      </c>
      <c r="E90" s="4">
        <v>2002</v>
      </c>
      <c r="F90" s="4">
        <v>2003</v>
      </c>
      <c r="G90" s="4">
        <v>2004</v>
      </c>
      <c r="H90" s="4">
        <v>2005</v>
      </c>
      <c r="I90" s="4">
        <v>2006</v>
      </c>
      <c r="J90" s="4">
        <v>2007</v>
      </c>
      <c r="K90" s="4">
        <v>2008</v>
      </c>
      <c r="L90" s="4">
        <v>2009</v>
      </c>
      <c r="M90" s="4">
        <v>2010</v>
      </c>
      <c r="N90" s="4">
        <v>2011</v>
      </c>
      <c r="O90" s="4">
        <v>2012</v>
      </c>
      <c r="P90" s="4">
        <v>2013</v>
      </c>
      <c r="Q90" s="4">
        <v>2014</v>
      </c>
      <c r="R90" s="4">
        <v>2015</v>
      </c>
      <c r="S90" s="4">
        <v>2016</v>
      </c>
      <c r="T90" s="4">
        <v>2017</v>
      </c>
      <c r="U90" s="4">
        <v>2018</v>
      </c>
      <c r="V90" s="4">
        <v>2019</v>
      </c>
      <c r="W90" s="4">
        <v>2020</v>
      </c>
      <c r="X90" s="4">
        <v>2021</v>
      </c>
      <c r="Y90" s="4">
        <v>2022</v>
      </c>
      <c r="Z90" s="4">
        <v>2023</v>
      </c>
      <c r="AA90" s="4">
        <v>2024</v>
      </c>
      <c r="AB90" s="4">
        <v>2025</v>
      </c>
      <c r="AE90" t="s">
        <v>73</v>
      </c>
      <c r="AF90" s="4" t="s">
        <v>74</v>
      </c>
      <c r="AG90" s="4" t="s">
        <v>77</v>
      </c>
      <c r="AH90" t="s">
        <v>78</v>
      </c>
      <c r="AJ90">
        <f t="shared" si="19"/>
        <v>27</v>
      </c>
    </row>
    <row r="91" spans="1:36" x14ac:dyDescent="0.2">
      <c r="A91" s="104" t="s">
        <v>1</v>
      </c>
      <c r="B91" s="187"/>
      <c r="C91" s="188"/>
      <c r="D91" s="188"/>
      <c r="E91" s="188"/>
      <c r="F91" s="188"/>
      <c r="G91" s="188"/>
      <c r="H91" s="188"/>
      <c r="I91" s="188"/>
      <c r="J91" s="188"/>
      <c r="K91" s="188"/>
      <c r="L91" s="188"/>
      <c r="M91" s="188"/>
      <c r="N91" s="188"/>
      <c r="O91" s="188"/>
      <c r="P91" s="198"/>
      <c r="Q91" s="103">
        <v>120000000</v>
      </c>
      <c r="R91" s="231">
        <v>25000</v>
      </c>
      <c r="S91" s="231">
        <v>5000</v>
      </c>
      <c r="T91" s="231"/>
      <c r="U91" s="231">
        <v>7000</v>
      </c>
      <c r="V91" s="231">
        <v>7000</v>
      </c>
      <c r="W91" s="231">
        <v>7000</v>
      </c>
      <c r="X91" s="231">
        <v>7000</v>
      </c>
      <c r="Y91" s="231">
        <v>7000</v>
      </c>
      <c r="Z91" s="231">
        <v>7000</v>
      </c>
      <c r="AA91" s="231">
        <v>7000</v>
      </c>
      <c r="AB91" s="231">
        <v>7000</v>
      </c>
      <c r="AD91" s="104" t="s">
        <v>1</v>
      </c>
      <c r="AE91" s="9">
        <f ca="1">AnzahlBackgroundColor(E91:AB91)</f>
        <v>0</v>
      </c>
      <c r="AF91" s="16">
        <f ca="1">AJ91-AnzahlBackgroundColor(B91:AB91)</f>
        <v>1</v>
      </c>
      <c r="AG91">
        <f ca="1">AE91/AF91*100</f>
        <v>0</v>
      </c>
      <c r="AH91">
        <f ca="1">AE91*0.01</f>
        <v>0</v>
      </c>
      <c r="AJ91">
        <f t="shared" si="19"/>
        <v>27</v>
      </c>
    </row>
    <row r="92" spans="1:36" x14ac:dyDescent="0.2">
      <c r="A92" s="104" t="s">
        <v>2</v>
      </c>
      <c r="B92" s="191"/>
      <c r="C92" s="186"/>
      <c r="D92" s="186"/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  <c r="P92" s="199"/>
      <c r="Q92" s="102">
        <v>80000000</v>
      </c>
      <c r="R92" s="231">
        <v>25000</v>
      </c>
      <c r="S92" s="231">
        <v>5000</v>
      </c>
      <c r="T92" s="231"/>
      <c r="U92" s="231">
        <v>7000</v>
      </c>
      <c r="V92" s="231">
        <v>7000</v>
      </c>
      <c r="W92" s="231">
        <v>7000</v>
      </c>
      <c r="X92" s="231">
        <v>7000</v>
      </c>
      <c r="Y92" s="231">
        <v>7000</v>
      </c>
      <c r="Z92" s="231">
        <v>7000</v>
      </c>
      <c r="AA92" s="231">
        <v>7000</v>
      </c>
      <c r="AB92" s="231">
        <v>7000</v>
      </c>
      <c r="AD92" s="104" t="s">
        <v>2</v>
      </c>
      <c r="AE92" s="9">
        <f ca="1">AnzahlBackgroundColor(E92:AB92)</f>
        <v>1</v>
      </c>
      <c r="AF92" s="16">
        <f t="shared" ref="AF92:AF98" ca="1" si="26">AJ92-AnzahlBackgroundColor(B92:AB92)</f>
        <v>1</v>
      </c>
      <c r="AG92">
        <f t="shared" ref="AG92:AG97" ca="1" si="27">AE92/AF92*100</f>
        <v>100</v>
      </c>
      <c r="AH92">
        <f ca="1">AE92*0.02</f>
        <v>0.02</v>
      </c>
      <c r="AJ92">
        <f t="shared" si="19"/>
        <v>27</v>
      </c>
    </row>
    <row r="93" spans="1:36" x14ac:dyDescent="0.2">
      <c r="A93" s="104" t="s">
        <v>3</v>
      </c>
      <c r="B93" s="191"/>
      <c r="C93" s="186"/>
      <c r="D93" s="186"/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  <c r="P93" s="199"/>
      <c r="Q93" s="102">
        <v>50000000</v>
      </c>
      <c r="R93" s="231">
        <v>25000</v>
      </c>
      <c r="S93" s="231">
        <v>5000</v>
      </c>
      <c r="T93" s="231"/>
      <c r="U93" s="231">
        <v>7000</v>
      </c>
      <c r="V93" s="102">
        <v>15000000</v>
      </c>
      <c r="W93" s="231">
        <v>7000</v>
      </c>
      <c r="X93" s="231">
        <v>7000</v>
      </c>
      <c r="Y93" s="231">
        <v>7000</v>
      </c>
      <c r="Z93" s="231">
        <v>7000</v>
      </c>
      <c r="AA93" s="231">
        <v>7000</v>
      </c>
      <c r="AB93" s="231">
        <v>7000</v>
      </c>
      <c r="AD93" s="104" t="s">
        <v>3</v>
      </c>
      <c r="AE93" s="9">
        <f ca="1">AnzahlBackgroundColor(E93:AB93)</f>
        <v>2</v>
      </c>
      <c r="AF93" s="16">
        <f t="shared" ca="1" si="26"/>
        <v>2</v>
      </c>
      <c r="AG93">
        <f t="shared" ca="1" si="27"/>
        <v>100</v>
      </c>
      <c r="AH93">
        <f ca="1">AE93*0.05</f>
        <v>0.1</v>
      </c>
      <c r="AJ93">
        <f t="shared" si="19"/>
        <v>27</v>
      </c>
    </row>
    <row r="94" spans="1:36" x14ac:dyDescent="0.2">
      <c r="A94" s="104" t="s">
        <v>4</v>
      </c>
      <c r="B94" s="191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199"/>
      <c r="Q94" s="102">
        <v>40000000</v>
      </c>
      <c r="R94" s="231">
        <v>25000</v>
      </c>
      <c r="S94" s="231">
        <v>5000</v>
      </c>
      <c r="T94" s="231"/>
      <c r="U94" s="231">
        <v>7000</v>
      </c>
      <c r="V94" s="231">
        <v>7000</v>
      </c>
      <c r="W94" s="231">
        <v>7000</v>
      </c>
      <c r="X94" s="231">
        <v>7000</v>
      </c>
      <c r="Y94" s="231">
        <v>7000</v>
      </c>
      <c r="Z94" s="231">
        <v>7000</v>
      </c>
      <c r="AA94" s="231">
        <v>7000</v>
      </c>
      <c r="AB94" s="231">
        <v>7000</v>
      </c>
      <c r="AD94" s="104" t="s">
        <v>4</v>
      </c>
      <c r="AE94" s="9">
        <f ca="1">AnzahlBackgroundColor(E94:AB94)</f>
        <v>1</v>
      </c>
      <c r="AF94" s="16">
        <f t="shared" ca="1" si="26"/>
        <v>1</v>
      </c>
      <c r="AG94">
        <f t="shared" ca="1" si="27"/>
        <v>100</v>
      </c>
      <c r="AH94">
        <f ca="1">AE94*0.1</f>
        <v>0.1</v>
      </c>
      <c r="AJ94">
        <f t="shared" si="19"/>
        <v>27</v>
      </c>
    </row>
    <row r="95" spans="1:36" x14ac:dyDescent="0.2">
      <c r="A95" s="104" t="s">
        <v>5</v>
      </c>
      <c r="B95" s="191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199"/>
      <c r="Q95" s="102">
        <v>35000000</v>
      </c>
      <c r="R95" s="231">
        <v>25000</v>
      </c>
      <c r="S95" s="231">
        <v>5000</v>
      </c>
      <c r="T95" s="231"/>
      <c r="U95" s="231">
        <v>7000</v>
      </c>
      <c r="V95" s="231">
        <v>7000</v>
      </c>
      <c r="W95" s="231">
        <v>7000</v>
      </c>
      <c r="X95" s="231">
        <v>7000</v>
      </c>
      <c r="Y95" s="231">
        <v>7000</v>
      </c>
      <c r="Z95" s="231">
        <v>7000</v>
      </c>
      <c r="AA95" s="231">
        <v>7000</v>
      </c>
      <c r="AB95" s="231">
        <v>7000</v>
      </c>
      <c r="AD95" s="104" t="s">
        <v>5</v>
      </c>
      <c r="AE95" s="9">
        <f ca="1">AnzahlBackgroundColor(E95:AB95)</f>
        <v>1</v>
      </c>
      <c r="AF95" s="16">
        <f t="shared" ca="1" si="26"/>
        <v>1</v>
      </c>
      <c r="AG95">
        <f t="shared" ca="1" si="27"/>
        <v>100</v>
      </c>
      <c r="AH95">
        <f ca="1">AE95*0.2</f>
        <v>0.2</v>
      </c>
      <c r="AJ95">
        <f t="shared" si="19"/>
        <v>27</v>
      </c>
    </row>
    <row r="96" spans="1:36" x14ac:dyDescent="0.2">
      <c r="A96" s="104" t="s">
        <v>6</v>
      </c>
      <c r="B96" s="191"/>
      <c r="C96" s="186"/>
      <c r="D96" s="186"/>
      <c r="E96" s="186"/>
      <c r="F96" s="186"/>
      <c r="G96" s="186"/>
      <c r="H96" s="186"/>
      <c r="I96" s="186"/>
      <c r="J96" s="186"/>
      <c r="K96" s="186"/>
      <c r="L96" s="186"/>
      <c r="M96" s="186"/>
      <c r="N96" s="186"/>
      <c r="O96" s="186"/>
      <c r="P96" s="199"/>
      <c r="Q96" s="102">
        <v>25000000</v>
      </c>
      <c r="R96" s="231">
        <v>25000</v>
      </c>
      <c r="S96" s="231">
        <v>5000</v>
      </c>
      <c r="T96" s="231"/>
      <c r="U96" s="231">
        <v>7000</v>
      </c>
      <c r="V96" s="231">
        <v>7000</v>
      </c>
      <c r="W96" s="231">
        <v>7000</v>
      </c>
      <c r="X96" s="231">
        <v>7000</v>
      </c>
      <c r="Y96" s="231">
        <v>7000</v>
      </c>
      <c r="Z96" s="231">
        <v>7000</v>
      </c>
      <c r="AA96" s="231">
        <v>7000</v>
      </c>
      <c r="AB96" s="231">
        <v>7000</v>
      </c>
      <c r="AD96" s="104" t="s">
        <v>6</v>
      </c>
      <c r="AE96" s="9">
        <f ca="1">AnzahlBackgroundColor(E96:AB96)</f>
        <v>1</v>
      </c>
      <c r="AF96" s="16">
        <f t="shared" ca="1" si="26"/>
        <v>1</v>
      </c>
      <c r="AG96">
        <f t="shared" ca="1" si="27"/>
        <v>100</v>
      </c>
      <c r="AH96">
        <f ca="1">AE96*0.5</f>
        <v>0.5</v>
      </c>
      <c r="AJ96">
        <f t="shared" si="19"/>
        <v>27</v>
      </c>
    </row>
    <row r="97" spans="1:36" ht="16" thickBot="1" x14ac:dyDescent="0.25">
      <c r="A97" s="104" t="s">
        <v>7</v>
      </c>
      <c r="B97" s="191"/>
      <c r="C97" s="186"/>
      <c r="D97" s="186"/>
      <c r="E97" s="186"/>
      <c r="F97" s="186"/>
      <c r="G97" s="186"/>
      <c r="H97" s="186"/>
      <c r="I97" s="186"/>
      <c r="J97" s="186"/>
      <c r="K97" s="186"/>
      <c r="L97" s="186"/>
      <c r="M97" s="186"/>
      <c r="N97" s="186"/>
      <c r="O97" s="186"/>
      <c r="P97" s="199"/>
      <c r="Q97" s="102">
        <v>30000000</v>
      </c>
      <c r="R97" s="231">
        <v>25000</v>
      </c>
      <c r="S97" s="102">
        <v>10000000</v>
      </c>
      <c r="T97" s="231"/>
      <c r="U97" s="231">
        <v>7000</v>
      </c>
      <c r="V97" s="231">
        <v>7000</v>
      </c>
      <c r="W97" s="231">
        <v>7000</v>
      </c>
      <c r="X97" s="231">
        <v>7000</v>
      </c>
      <c r="Y97" s="231">
        <v>7000</v>
      </c>
      <c r="Z97" s="231">
        <v>7000</v>
      </c>
      <c r="AA97" s="231">
        <v>7000</v>
      </c>
      <c r="AB97" s="231">
        <v>7000</v>
      </c>
      <c r="AD97" s="104" t="s">
        <v>7</v>
      </c>
      <c r="AE97" s="9">
        <f ca="1">AnzahlBackgroundColor(E97:AB97)</f>
        <v>2</v>
      </c>
      <c r="AF97" s="16">
        <f t="shared" ca="1" si="26"/>
        <v>2</v>
      </c>
      <c r="AG97">
        <f t="shared" ca="1" si="27"/>
        <v>100</v>
      </c>
      <c r="AH97">
        <f ca="1">AE97*1</f>
        <v>2</v>
      </c>
      <c r="AJ97">
        <f t="shared" si="19"/>
        <v>27</v>
      </c>
    </row>
    <row r="98" spans="1:36" ht="16" thickBot="1" x14ac:dyDescent="0.25">
      <c r="A98" s="104" t="s">
        <v>8</v>
      </c>
      <c r="B98" s="194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200"/>
      <c r="Q98" s="102">
        <v>20000000</v>
      </c>
      <c r="R98" s="231">
        <v>25000</v>
      </c>
      <c r="S98" s="239">
        <v>5000</v>
      </c>
      <c r="T98" s="231"/>
      <c r="U98" s="231">
        <v>7000</v>
      </c>
      <c r="V98" s="231">
        <v>7000</v>
      </c>
      <c r="W98" s="231">
        <v>7000</v>
      </c>
      <c r="X98" s="231">
        <v>7000</v>
      </c>
      <c r="Y98" s="231">
        <v>7000</v>
      </c>
      <c r="Z98" s="231">
        <v>7000</v>
      </c>
      <c r="AA98" s="231">
        <v>7000</v>
      </c>
      <c r="AB98" s="231">
        <v>7000</v>
      </c>
      <c r="AD98" s="104" t="s">
        <v>8</v>
      </c>
      <c r="AE98" s="9">
        <f ca="1">AnzahlBackgroundColor(E98:AB98)</f>
        <v>2</v>
      </c>
      <c r="AF98" s="16">
        <f t="shared" ca="1" si="26"/>
        <v>2</v>
      </c>
      <c r="AG98">
        <f ca="1">AE98/AF98*100</f>
        <v>100</v>
      </c>
      <c r="AH98">
        <f ca="1">AE98*2</f>
        <v>4</v>
      </c>
      <c r="AJ98">
        <f t="shared" si="19"/>
        <v>27</v>
      </c>
    </row>
    <row r="99" spans="1:36" x14ac:dyDescent="0.2">
      <c r="AD99" s="104" t="s">
        <v>75</v>
      </c>
      <c r="AE99" s="19">
        <f ca="1" xml:space="preserve"> AE91+AE92+AE93+AE94+AE95+AE96+AE97+AE98</f>
        <v>10</v>
      </c>
      <c r="AF99" s="19">
        <f ca="1" xml:space="preserve"> AF91+AF92+AF93+AF94+AF95+AF96+AF97+AF98</f>
        <v>11</v>
      </c>
      <c r="AG99" s="19">
        <f t="shared" ref="AG99" ca="1" si="28">AE99/AF99*100</f>
        <v>90.909090909090907</v>
      </c>
      <c r="AH99" s="19">
        <f ca="1" xml:space="preserve"> AH91+AH92+AH93+AH94+AH95+AH96+AH97+AH98</f>
        <v>6.92</v>
      </c>
      <c r="AJ99">
        <f t="shared" si="19"/>
        <v>27</v>
      </c>
    </row>
    <row r="100" spans="1:36" x14ac:dyDescent="0.2">
      <c r="B100" s="1" t="s">
        <v>165</v>
      </c>
      <c r="C100" s="1" t="s">
        <v>165</v>
      </c>
      <c r="D100" s="1" t="s">
        <v>165</v>
      </c>
      <c r="E100" s="1" t="s">
        <v>165</v>
      </c>
      <c r="F100" s="1" t="s">
        <v>165</v>
      </c>
      <c r="G100" s="1" t="s">
        <v>165</v>
      </c>
      <c r="H100" s="1" t="s">
        <v>165</v>
      </c>
      <c r="I100" s="1" t="s">
        <v>165</v>
      </c>
      <c r="J100" s="1" t="s">
        <v>165</v>
      </c>
      <c r="K100" s="1" t="s">
        <v>165</v>
      </c>
      <c r="L100" s="1" t="s">
        <v>165</v>
      </c>
      <c r="M100" s="1" t="s">
        <v>165</v>
      </c>
      <c r="N100" s="1" t="s">
        <v>165</v>
      </c>
      <c r="O100" s="1" t="s">
        <v>165</v>
      </c>
      <c r="P100" s="1" t="s">
        <v>165</v>
      </c>
      <c r="Q100" s="1" t="s">
        <v>165</v>
      </c>
      <c r="R100" s="1" t="s">
        <v>165</v>
      </c>
      <c r="S100" s="1" t="s">
        <v>165</v>
      </c>
      <c r="T100" s="1" t="s">
        <v>165</v>
      </c>
      <c r="U100" s="1" t="s">
        <v>165</v>
      </c>
      <c r="V100" s="1" t="s">
        <v>165</v>
      </c>
      <c r="W100" s="1" t="s">
        <v>165</v>
      </c>
      <c r="X100" s="1" t="s">
        <v>165</v>
      </c>
      <c r="Y100" s="1" t="s">
        <v>165</v>
      </c>
      <c r="Z100" s="1" t="s">
        <v>165</v>
      </c>
      <c r="AA100" s="1" t="s">
        <v>165</v>
      </c>
      <c r="AB100" s="1" t="s">
        <v>165</v>
      </c>
      <c r="AJ100">
        <f t="shared" si="19"/>
        <v>27</v>
      </c>
    </row>
    <row r="101" spans="1:36" x14ac:dyDescent="0.2">
      <c r="B101" s="4">
        <v>1999</v>
      </c>
      <c r="C101" s="4">
        <v>2000</v>
      </c>
      <c r="D101" s="4">
        <v>2001</v>
      </c>
      <c r="E101" s="4">
        <v>2002</v>
      </c>
      <c r="F101" s="4">
        <v>2003</v>
      </c>
      <c r="G101" s="4">
        <v>2004</v>
      </c>
      <c r="H101" s="4">
        <v>2005</v>
      </c>
      <c r="I101" s="4">
        <v>2006</v>
      </c>
      <c r="J101" s="4">
        <v>2007</v>
      </c>
      <c r="K101" s="4">
        <v>2008</v>
      </c>
      <c r="L101" s="4">
        <v>2009</v>
      </c>
      <c r="M101" s="4">
        <v>2010</v>
      </c>
      <c r="N101" s="4">
        <v>2011</v>
      </c>
      <c r="O101" s="4">
        <v>2012</v>
      </c>
      <c r="P101" s="4">
        <v>2013</v>
      </c>
      <c r="Q101" s="4">
        <v>2014</v>
      </c>
      <c r="R101" s="4">
        <v>2015</v>
      </c>
      <c r="S101" s="4">
        <v>2016</v>
      </c>
      <c r="T101" s="4">
        <v>2017</v>
      </c>
      <c r="U101" s="4">
        <v>2018</v>
      </c>
      <c r="V101" s="4">
        <v>2019</v>
      </c>
      <c r="W101" s="4">
        <v>2020</v>
      </c>
      <c r="X101" s="4">
        <v>2021</v>
      </c>
      <c r="Y101" s="4">
        <v>2022</v>
      </c>
      <c r="Z101" s="4">
        <v>2023</v>
      </c>
      <c r="AA101" s="4">
        <v>2024</v>
      </c>
      <c r="AB101" s="4">
        <v>2025</v>
      </c>
      <c r="AE101" t="s">
        <v>73</v>
      </c>
      <c r="AF101" s="4" t="s">
        <v>74</v>
      </c>
      <c r="AG101" s="4" t="s">
        <v>77</v>
      </c>
      <c r="AH101" t="s">
        <v>78</v>
      </c>
      <c r="AJ101">
        <f t="shared" si="19"/>
        <v>27</v>
      </c>
    </row>
    <row r="102" spans="1:36" x14ac:dyDescent="0.2">
      <c r="A102" s="104" t="s">
        <v>1</v>
      </c>
      <c r="B102" s="187"/>
      <c r="C102" s="188"/>
      <c r="D102" s="198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6"/>
      <c r="R102" s="103">
        <v>70000000</v>
      </c>
      <c r="S102" s="103">
        <v>20000000</v>
      </c>
      <c r="T102" s="102">
        <v>22000000</v>
      </c>
      <c r="U102" s="231">
        <v>5000</v>
      </c>
      <c r="V102" s="231">
        <v>6000</v>
      </c>
      <c r="W102" s="231">
        <v>6000</v>
      </c>
      <c r="X102" s="231">
        <v>6000</v>
      </c>
      <c r="Y102" s="231">
        <v>7000</v>
      </c>
      <c r="Z102" s="231">
        <v>7000</v>
      </c>
      <c r="AA102" s="231">
        <v>7000</v>
      </c>
      <c r="AB102" s="231">
        <v>7000</v>
      </c>
      <c r="AD102" s="104" t="s">
        <v>1</v>
      </c>
      <c r="AE102" s="9">
        <f ca="1">AnzahlBackgroundColor(B102:AB102)</f>
        <v>1</v>
      </c>
      <c r="AF102" s="16">
        <f ca="1">AJ102-AnzahlBackgroundColor(B102:AB102)</f>
        <v>3</v>
      </c>
      <c r="AG102">
        <f ca="1">AE102/AF102*100</f>
        <v>33.333333333333329</v>
      </c>
      <c r="AH102">
        <f ca="1">AE102*0.01</f>
        <v>0.01</v>
      </c>
      <c r="AJ102">
        <f t="shared" si="19"/>
        <v>27</v>
      </c>
    </row>
    <row r="103" spans="1:36" ht="16" thickBot="1" x14ac:dyDescent="0.25">
      <c r="A103" s="104" t="s">
        <v>2</v>
      </c>
      <c r="B103" s="191"/>
      <c r="C103" s="186"/>
      <c r="D103" s="199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6"/>
      <c r="R103" s="102">
        <v>70000000</v>
      </c>
      <c r="S103" s="231"/>
      <c r="T103" s="103">
        <v>23000000</v>
      </c>
      <c r="U103" s="231">
        <v>5000</v>
      </c>
      <c r="V103" s="231">
        <v>6000</v>
      </c>
      <c r="W103" s="231">
        <v>6000</v>
      </c>
      <c r="X103" s="237">
        <v>6000</v>
      </c>
      <c r="Y103" s="231">
        <v>7000</v>
      </c>
      <c r="Z103" s="231">
        <v>7000</v>
      </c>
      <c r="AA103" s="231">
        <v>7000</v>
      </c>
      <c r="AB103" s="231">
        <v>7000</v>
      </c>
      <c r="AD103" s="104" t="s">
        <v>2</v>
      </c>
      <c r="AE103" s="9">
        <f ca="1">AnzahlBackgroundColor(B103:AB103)</f>
        <v>1</v>
      </c>
      <c r="AF103" s="16">
        <f t="shared" ref="AF103:AF109" ca="1" si="29">AJ103-AnzahlBackgroundColor(B103:AB103)</f>
        <v>2</v>
      </c>
      <c r="AG103">
        <f t="shared" ref="AG103:AG108" ca="1" si="30">AE103/AF103*100</f>
        <v>50</v>
      </c>
      <c r="AH103">
        <f ca="1">AE103*0.02</f>
        <v>0.02</v>
      </c>
      <c r="AJ103">
        <f t="shared" si="19"/>
        <v>27</v>
      </c>
    </row>
    <row r="104" spans="1:36" ht="16" thickBot="1" x14ac:dyDescent="0.25">
      <c r="A104" s="104" t="s">
        <v>3</v>
      </c>
      <c r="B104" s="191"/>
      <c r="C104" s="186"/>
      <c r="D104" s="199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6"/>
      <c r="R104" s="102">
        <v>60000000</v>
      </c>
      <c r="S104" s="231"/>
      <c r="T104" s="186"/>
      <c r="U104" s="231">
        <v>5000</v>
      </c>
      <c r="V104" s="231">
        <v>6000</v>
      </c>
      <c r="W104" s="236">
        <v>6000</v>
      </c>
      <c r="X104" s="239">
        <v>6000</v>
      </c>
      <c r="Y104" s="231">
        <v>7000</v>
      </c>
      <c r="Z104" s="231">
        <v>7000</v>
      </c>
      <c r="AA104" s="231">
        <v>7000</v>
      </c>
      <c r="AB104" s="231">
        <v>7000</v>
      </c>
      <c r="AD104" s="104" t="s">
        <v>3</v>
      </c>
      <c r="AE104" s="9">
        <f ca="1">AnzahlBackgroundColor(B104:AB104)</f>
        <v>2</v>
      </c>
      <c r="AF104" s="16">
        <f t="shared" ca="1" si="29"/>
        <v>2</v>
      </c>
      <c r="AG104">
        <f t="shared" ca="1" si="30"/>
        <v>100</v>
      </c>
      <c r="AH104">
        <f ca="1">AE104*0.05</f>
        <v>0.1</v>
      </c>
      <c r="AJ104">
        <f t="shared" si="19"/>
        <v>27</v>
      </c>
    </row>
    <row r="105" spans="1:36" x14ac:dyDescent="0.2">
      <c r="A105" s="104" t="s">
        <v>4</v>
      </c>
      <c r="B105" s="191"/>
      <c r="C105" s="186"/>
      <c r="D105" s="199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6"/>
      <c r="R105" s="102">
        <v>35000000</v>
      </c>
      <c r="S105" s="231"/>
      <c r="T105" s="102">
        <v>14000000</v>
      </c>
      <c r="U105" s="231">
        <v>5000</v>
      </c>
      <c r="V105" s="231">
        <v>6000</v>
      </c>
      <c r="W105" s="231">
        <v>6000</v>
      </c>
      <c r="X105" s="238">
        <v>6000</v>
      </c>
      <c r="Y105" s="231">
        <v>7000</v>
      </c>
      <c r="Z105" s="231">
        <v>7000</v>
      </c>
      <c r="AA105" s="231">
        <v>7000</v>
      </c>
      <c r="AB105" s="231">
        <v>7000</v>
      </c>
      <c r="AD105" s="104" t="s">
        <v>4</v>
      </c>
      <c r="AE105" s="9">
        <f ca="1">AnzahlBackgroundColor(B105:AB105)</f>
        <v>2</v>
      </c>
      <c r="AF105" s="16">
        <f t="shared" ca="1" si="29"/>
        <v>2</v>
      </c>
      <c r="AG105">
        <f t="shared" ca="1" si="30"/>
        <v>100</v>
      </c>
      <c r="AH105">
        <f ca="1">AE105*0.1</f>
        <v>0.2</v>
      </c>
      <c r="AJ105">
        <f t="shared" si="19"/>
        <v>27</v>
      </c>
    </row>
    <row r="106" spans="1:36" x14ac:dyDescent="0.2">
      <c r="A106" s="104" t="s">
        <v>5</v>
      </c>
      <c r="B106" s="191"/>
      <c r="C106" s="186"/>
      <c r="D106" s="199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6"/>
      <c r="R106" s="102">
        <v>35000000</v>
      </c>
      <c r="S106" s="231"/>
      <c r="T106" s="103">
        <v>6000000</v>
      </c>
      <c r="U106" s="231">
        <v>5000</v>
      </c>
      <c r="V106" s="231">
        <v>6000</v>
      </c>
      <c r="W106" s="231">
        <v>6000</v>
      </c>
      <c r="X106" s="231">
        <v>6000</v>
      </c>
      <c r="Y106" s="231">
        <v>7000</v>
      </c>
      <c r="Z106" s="231">
        <v>7000</v>
      </c>
      <c r="AA106" s="231">
        <v>7000</v>
      </c>
      <c r="AB106" s="231">
        <v>7000</v>
      </c>
      <c r="AD106" s="104" t="s">
        <v>5</v>
      </c>
      <c r="AE106" s="9">
        <f ca="1">AnzahlBackgroundColor(B106:AB106)</f>
        <v>1</v>
      </c>
      <c r="AF106" s="16">
        <f t="shared" ca="1" si="29"/>
        <v>2</v>
      </c>
      <c r="AG106">
        <f t="shared" ca="1" si="30"/>
        <v>50</v>
      </c>
      <c r="AH106">
        <f ca="1">AE106*0.2</f>
        <v>0.2</v>
      </c>
      <c r="AJ106">
        <f t="shared" si="19"/>
        <v>27</v>
      </c>
    </row>
    <row r="107" spans="1:36" x14ac:dyDescent="0.2">
      <c r="A107" s="104" t="s">
        <v>6</v>
      </c>
      <c r="B107" s="191"/>
      <c r="C107" s="186"/>
      <c r="D107" s="199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6"/>
      <c r="R107" s="102">
        <v>40000000</v>
      </c>
      <c r="S107" s="231"/>
      <c r="T107" s="186"/>
      <c r="U107" s="231">
        <v>5000</v>
      </c>
      <c r="V107" s="231">
        <v>6000</v>
      </c>
      <c r="W107" s="231">
        <v>6000</v>
      </c>
      <c r="X107" s="231">
        <v>6000</v>
      </c>
      <c r="Y107" s="231">
        <v>7000</v>
      </c>
      <c r="Z107" s="231">
        <v>7000</v>
      </c>
      <c r="AA107" s="231">
        <v>7000</v>
      </c>
      <c r="AB107" s="231">
        <v>7000</v>
      </c>
      <c r="AD107" s="104" t="s">
        <v>6</v>
      </c>
      <c r="AE107" s="9">
        <f ca="1">AnzahlBackgroundColor(B107:AB107)</f>
        <v>1</v>
      </c>
      <c r="AF107" s="16">
        <f t="shared" ca="1" si="29"/>
        <v>1</v>
      </c>
      <c r="AG107">
        <f t="shared" ca="1" si="30"/>
        <v>100</v>
      </c>
      <c r="AH107">
        <f ca="1">AE107*0.5</f>
        <v>0.5</v>
      </c>
      <c r="AJ107">
        <f t="shared" si="19"/>
        <v>27</v>
      </c>
    </row>
    <row r="108" spans="1:36" x14ac:dyDescent="0.2">
      <c r="A108" s="104" t="s">
        <v>7</v>
      </c>
      <c r="B108" s="191"/>
      <c r="C108" s="186"/>
      <c r="D108" s="199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6"/>
      <c r="R108" s="102">
        <v>35000000</v>
      </c>
      <c r="S108" s="231"/>
      <c r="T108" s="231"/>
      <c r="U108" s="231">
        <v>5000</v>
      </c>
      <c r="V108" s="231">
        <v>6000</v>
      </c>
      <c r="W108" s="231">
        <v>6000</v>
      </c>
      <c r="X108" s="231">
        <v>6000</v>
      </c>
      <c r="Y108" s="231">
        <v>7000</v>
      </c>
      <c r="Z108" s="231">
        <v>7000</v>
      </c>
      <c r="AA108" s="231">
        <v>7000</v>
      </c>
      <c r="AB108" s="231">
        <v>7000</v>
      </c>
      <c r="AD108" s="104" t="s">
        <v>7</v>
      </c>
      <c r="AE108" s="9">
        <f ca="1">AnzahlBackgroundColor(B108:AB108)</f>
        <v>1</v>
      </c>
      <c r="AF108" s="16">
        <f t="shared" ca="1" si="29"/>
        <v>1</v>
      </c>
      <c r="AG108">
        <f t="shared" ca="1" si="30"/>
        <v>100</v>
      </c>
      <c r="AH108">
        <f ca="1">AE108*1</f>
        <v>1</v>
      </c>
      <c r="AJ108">
        <f t="shared" si="19"/>
        <v>27</v>
      </c>
    </row>
    <row r="109" spans="1:36" x14ac:dyDescent="0.2">
      <c r="A109" s="104" t="s">
        <v>8</v>
      </c>
      <c r="B109" s="194"/>
      <c r="C109" s="195"/>
      <c r="D109" s="200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6"/>
      <c r="R109" s="102">
        <v>25000000</v>
      </c>
      <c r="S109" s="231"/>
      <c r="T109" s="102">
        <v>12000000</v>
      </c>
      <c r="U109" s="231">
        <v>5000</v>
      </c>
      <c r="V109" s="231">
        <v>6000</v>
      </c>
      <c r="W109" s="231">
        <v>5000</v>
      </c>
      <c r="X109" s="231">
        <v>5000</v>
      </c>
      <c r="Y109" s="231">
        <v>7000</v>
      </c>
      <c r="Z109" s="231">
        <v>7000</v>
      </c>
      <c r="AA109" s="231">
        <v>7000</v>
      </c>
      <c r="AB109" s="231">
        <v>7000</v>
      </c>
      <c r="AD109" s="104" t="s">
        <v>8</v>
      </c>
      <c r="AE109" s="9">
        <f ca="1">AnzahlBackgroundColor(B109:AB109)</f>
        <v>2</v>
      </c>
      <c r="AF109" s="16">
        <f t="shared" ca="1" si="29"/>
        <v>2</v>
      </c>
      <c r="AG109">
        <f ca="1">AE109/AF109*100</f>
        <v>100</v>
      </c>
      <c r="AH109">
        <f ca="1">AE109*2</f>
        <v>4</v>
      </c>
      <c r="AJ109">
        <f t="shared" si="19"/>
        <v>27</v>
      </c>
    </row>
    <row r="110" spans="1:36" x14ac:dyDescent="0.2">
      <c r="R110" t="s">
        <v>164</v>
      </c>
      <c r="AD110" s="104" t="s">
        <v>75</v>
      </c>
      <c r="AE110" s="19">
        <f ca="1" xml:space="preserve"> AE102+AE103+AE104+AE105+AE106+AE107+AE108+AE109</f>
        <v>11</v>
      </c>
      <c r="AF110" s="19">
        <f ca="1" xml:space="preserve"> AF102+AF103+AF104+AF105+AF106+AF107+AF108+AF109</f>
        <v>15</v>
      </c>
      <c r="AG110" s="19">
        <f t="shared" ref="AG110" ca="1" si="31">AE110/AF110*100</f>
        <v>73.333333333333329</v>
      </c>
      <c r="AH110" s="19">
        <f ca="1" xml:space="preserve"> AH102+AH103+AH104+AH105+AH106+AH107+AH108+AH109</f>
        <v>6.03</v>
      </c>
      <c r="AJ110">
        <f t="shared" si="19"/>
        <v>27</v>
      </c>
    </row>
    <row r="111" spans="1:36" x14ac:dyDescent="0.2">
      <c r="B111" s="1" t="s">
        <v>56</v>
      </c>
      <c r="C111" s="1" t="s">
        <v>56</v>
      </c>
      <c r="D111" s="1" t="s">
        <v>56</v>
      </c>
      <c r="E111" s="1" t="s">
        <v>56</v>
      </c>
      <c r="F111" s="1" t="s">
        <v>56</v>
      </c>
      <c r="G111" s="1" t="s">
        <v>56</v>
      </c>
      <c r="H111" s="1" t="s">
        <v>56</v>
      </c>
      <c r="I111" s="1" t="s">
        <v>56</v>
      </c>
      <c r="J111" s="1" t="s">
        <v>56</v>
      </c>
      <c r="K111" s="1" t="s">
        <v>56</v>
      </c>
      <c r="L111" s="1" t="s">
        <v>56</v>
      </c>
      <c r="M111" s="1" t="s">
        <v>56</v>
      </c>
      <c r="N111" s="1" t="s">
        <v>56</v>
      </c>
      <c r="O111" s="1" t="s">
        <v>56</v>
      </c>
      <c r="P111" s="1" t="s">
        <v>56</v>
      </c>
      <c r="Q111" s="1" t="s">
        <v>56</v>
      </c>
      <c r="R111" s="1" t="s">
        <v>56</v>
      </c>
      <c r="S111" s="1" t="s">
        <v>56</v>
      </c>
      <c r="T111" s="1" t="s">
        <v>56</v>
      </c>
      <c r="U111" s="1" t="s">
        <v>56</v>
      </c>
      <c r="V111" s="1" t="s">
        <v>56</v>
      </c>
      <c r="W111" s="1" t="s">
        <v>56</v>
      </c>
      <c r="X111" s="1" t="s">
        <v>56</v>
      </c>
      <c r="Y111" s="1" t="s">
        <v>56</v>
      </c>
      <c r="Z111" s="1" t="s">
        <v>56</v>
      </c>
      <c r="AA111" s="1" t="s">
        <v>56</v>
      </c>
      <c r="AB111" s="1" t="s">
        <v>56</v>
      </c>
      <c r="AJ111">
        <f t="shared" si="19"/>
        <v>27</v>
      </c>
    </row>
    <row r="112" spans="1:36" x14ac:dyDescent="0.2">
      <c r="B112" s="4">
        <v>1999</v>
      </c>
      <c r="C112" s="4">
        <v>2000</v>
      </c>
      <c r="D112" s="4">
        <v>2001</v>
      </c>
      <c r="E112" s="4">
        <v>2002</v>
      </c>
      <c r="F112" s="4">
        <v>2003</v>
      </c>
      <c r="G112" s="4">
        <v>2004</v>
      </c>
      <c r="H112" s="4">
        <v>2005</v>
      </c>
      <c r="I112" s="4">
        <v>2006</v>
      </c>
      <c r="J112" s="4">
        <v>2007</v>
      </c>
      <c r="K112" s="4">
        <v>2008</v>
      </c>
      <c r="L112" s="4">
        <v>2009</v>
      </c>
      <c r="M112" s="4">
        <v>2010</v>
      </c>
      <c r="N112" s="4">
        <v>2011</v>
      </c>
      <c r="O112" s="4">
        <v>2012</v>
      </c>
      <c r="P112" s="4">
        <v>2013</v>
      </c>
      <c r="Q112" s="4">
        <v>2014</v>
      </c>
      <c r="R112" s="4">
        <v>2015</v>
      </c>
      <c r="S112" s="4">
        <v>2016</v>
      </c>
      <c r="T112" s="4">
        <v>2017</v>
      </c>
      <c r="U112" s="4">
        <v>2018</v>
      </c>
      <c r="V112" s="4">
        <v>2019</v>
      </c>
      <c r="W112" s="4">
        <v>2020</v>
      </c>
      <c r="X112" s="4">
        <v>2021</v>
      </c>
      <c r="Y112" s="4">
        <v>2022</v>
      </c>
      <c r="Z112" s="4">
        <v>2023</v>
      </c>
      <c r="AA112" s="4">
        <v>2024</v>
      </c>
      <c r="AB112" s="4">
        <v>2025</v>
      </c>
      <c r="AE112" t="s">
        <v>73</v>
      </c>
      <c r="AF112" s="4" t="s">
        <v>74</v>
      </c>
      <c r="AG112" s="4" t="s">
        <v>77</v>
      </c>
      <c r="AH112" t="s">
        <v>78</v>
      </c>
      <c r="AJ112">
        <f t="shared" si="19"/>
        <v>27</v>
      </c>
    </row>
    <row r="113" spans="1:36" x14ac:dyDescent="0.2">
      <c r="A113" s="104" t="s">
        <v>1</v>
      </c>
      <c r="B113" s="187"/>
      <c r="C113" s="188"/>
      <c r="D113" s="198"/>
      <c r="E113" s="42">
        <v>34512500</v>
      </c>
      <c r="F113" s="43">
        <v>1500000</v>
      </c>
      <c r="G113" s="42">
        <v>21001000</v>
      </c>
      <c r="H113" s="43">
        <v>7000000</v>
      </c>
      <c r="I113" s="43">
        <v>4000000</v>
      </c>
      <c r="J113" s="43">
        <v>6000000</v>
      </c>
      <c r="K113" s="43">
        <v>10000000</v>
      </c>
      <c r="L113" s="43">
        <v>4000000</v>
      </c>
      <c r="M113" s="43">
        <v>6000000</v>
      </c>
      <c r="N113" s="43">
        <v>7600000</v>
      </c>
      <c r="O113" s="43">
        <v>9200000</v>
      </c>
      <c r="P113" s="43">
        <v>5100000</v>
      </c>
      <c r="Q113" s="43">
        <v>10000000</v>
      </c>
      <c r="R113" s="43">
        <v>5000000</v>
      </c>
      <c r="S113" s="43">
        <v>5000000</v>
      </c>
      <c r="T113" s="44">
        <v>50000</v>
      </c>
      <c r="U113" s="43">
        <v>5000000</v>
      </c>
      <c r="V113" s="44">
        <v>50000</v>
      </c>
      <c r="W113" s="44">
        <v>50000</v>
      </c>
      <c r="X113" s="44">
        <v>50000</v>
      </c>
      <c r="Y113" s="88"/>
      <c r="Z113" s="231">
        <v>7000</v>
      </c>
      <c r="AA113" s="231">
        <v>7000</v>
      </c>
      <c r="AB113" s="231">
        <v>7000</v>
      </c>
      <c r="AD113" s="104" t="s">
        <v>1</v>
      </c>
      <c r="AE113" s="9">
        <f ca="1">AnzahlBackgroundColor(E113:AB113)</f>
        <v>2</v>
      </c>
      <c r="AF113" s="16">
        <f ca="1">AJ113-AnzahlBackgroundColor(B113:AB113)</f>
        <v>17</v>
      </c>
      <c r="AG113">
        <f ca="1">AE113/AF113*100</f>
        <v>11.76470588235294</v>
      </c>
      <c r="AH113">
        <f ca="1">AE113*0.01</f>
        <v>0.02</v>
      </c>
      <c r="AJ113">
        <f t="shared" si="19"/>
        <v>27</v>
      </c>
    </row>
    <row r="114" spans="1:36" x14ac:dyDescent="0.2">
      <c r="A114" s="104" t="s">
        <v>2</v>
      </c>
      <c r="B114" s="191"/>
      <c r="C114" s="186"/>
      <c r="D114" s="199"/>
      <c r="E114" s="43">
        <v>35912500</v>
      </c>
      <c r="F114" s="43">
        <v>1500000</v>
      </c>
      <c r="G114" s="43">
        <v>20001000</v>
      </c>
      <c r="H114" s="42">
        <v>13000000</v>
      </c>
      <c r="I114" s="43">
        <v>4000000</v>
      </c>
      <c r="J114" s="43">
        <v>8000000</v>
      </c>
      <c r="K114" s="43">
        <v>12000000</v>
      </c>
      <c r="L114" s="43">
        <v>3000000</v>
      </c>
      <c r="M114" s="43">
        <v>8000000</v>
      </c>
      <c r="N114" s="42">
        <v>6200000</v>
      </c>
      <c r="O114" s="43">
        <v>7200000</v>
      </c>
      <c r="P114" s="43">
        <v>7100000</v>
      </c>
      <c r="Q114" s="42">
        <v>10000000</v>
      </c>
      <c r="R114" s="43">
        <v>7000000</v>
      </c>
      <c r="S114" s="43">
        <v>7000000</v>
      </c>
      <c r="T114" s="44">
        <v>50000</v>
      </c>
      <c r="U114" s="43">
        <v>5050000</v>
      </c>
      <c r="V114" s="44">
        <v>50000</v>
      </c>
      <c r="W114" s="44">
        <v>50000</v>
      </c>
      <c r="X114" s="44">
        <v>50000</v>
      </c>
      <c r="Y114" s="88"/>
      <c r="Z114" s="231">
        <v>7000</v>
      </c>
      <c r="AA114" s="231">
        <v>7000</v>
      </c>
      <c r="AB114" s="231">
        <v>7000</v>
      </c>
      <c r="AD114" s="104" t="s">
        <v>2</v>
      </c>
      <c r="AE114" s="9">
        <f ca="1">AnzahlBackgroundColor(E114:AB114)</f>
        <v>3</v>
      </c>
      <c r="AF114" s="16">
        <f t="shared" ref="AF114:AF119" ca="1" si="32">AJ114-AnzahlBackgroundColor(B114:AB114)</f>
        <v>17</v>
      </c>
      <c r="AG114">
        <f t="shared" ref="AG114:AG119" ca="1" si="33">AE114/AF114*100</f>
        <v>17.647058823529413</v>
      </c>
      <c r="AH114">
        <f ca="1">AE114*0.02</f>
        <v>0.06</v>
      </c>
      <c r="AJ114">
        <f t="shared" si="19"/>
        <v>27</v>
      </c>
    </row>
    <row r="115" spans="1:36" x14ac:dyDescent="0.2">
      <c r="A115" s="104" t="s">
        <v>3</v>
      </c>
      <c r="B115" s="191"/>
      <c r="C115" s="186"/>
      <c r="D115" s="199"/>
      <c r="E115" s="42">
        <v>28912500</v>
      </c>
      <c r="F115" s="43">
        <v>4500000</v>
      </c>
      <c r="G115" s="43">
        <v>16001000</v>
      </c>
      <c r="H115" s="43">
        <v>6000000</v>
      </c>
      <c r="I115" s="42">
        <v>5000000</v>
      </c>
      <c r="J115" s="43">
        <v>5000000</v>
      </c>
      <c r="K115" s="42">
        <v>9000000</v>
      </c>
      <c r="L115" s="43">
        <v>6000000</v>
      </c>
      <c r="M115" s="43">
        <v>6000000</v>
      </c>
      <c r="N115" s="43">
        <v>6700000</v>
      </c>
      <c r="O115" s="43">
        <v>5200000</v>
      </c>
      <c r="P115" s="42">
        <v>7100000</v>
      </c>
      <c r="Q115" s="43">
        <v>10000000</v>
      </c>
      <c r="R115" s="42">
        <v>6000000</v>
      </c>
      <c r="S115" s="43">
        <v>6000000</v>
      </c>
      <c r="T115" s="44">
        <v>50000</v>
      </c>
      <c r="U115" s="43">
        <v>3050000</v>
      </c>
      <c r="V115" s="44">
        <v>50000</v>
      </c>
      <c r="W115" s="43">
        <v>2050000</v>
      </c>
      <c r="X115" s="43">
        <v>3050000</v>
      </c>
      <c r="Y115" s="88"/>
      <c r="Z115" s="231">
        <v>7000</v>
      </c>
      <c r="AA115" s="231">
        <v>7000</v>
      </c>
      <c r="AB115" s="231">
        <v>7000</v>
      </c>
      <c r="AD115" s="104" t="s">
        <v>3</v>
      </c>
      <c r="AE115" s="9">
        <f ca="1">AnzahlBackgroundColor(E115:AB115)</f>
        <v>5</v>
      </c>
      <c r="AF115" s="16">
        <f t="shared" ca="1" si="32"/>
        <v>19</v>
      </c>
      <c r="AG115">
        <f t="shared" ca="1" si="33"/>
        <v>26.315789473684209</v>
      </c>
      <c r="AH115">
        <f ca="1">AE115*0.05</f>
        <v>0.25</v>
      </c>
      <c r="AJ115">
        <f t="shared" si="19"/>
        <v>27</v>
      </c>
    </row>
    <row r="116" spans="1:36" x14ac:dyDescent="0.2">
      <c r="A116" s="104" t="s">
        <v>4</v>
      </c>
      <c r="B116" s="191"/>
      <c r="C116" s="186"/>
      <c r="D116" s="199"/>
      <c r="E116" s="42">
        <v>25112500</v>
      </c>
      <c r="F116" s="43">
        <v>1500000</v>
      </c>
      <c r="G116" s="43">
        <v>12001000</v>
      </c>
      <c r="H116" s="43">
        <v>2000000</v>
      </c>
      <c r="I116" s="43">
        <v>4000000</v>
      </c>
      <c r="J116" s="42">
        <v>5000000</v>
      </c>
      <c r="K116" s="43">
        <v>5000000</v>
      </c>
      <c r="L116" s="43">
        <v>4000000</v>
      </c>
      <c r="M116" s="42">
        <v>4000000</v>
      </c>
      <c r="N116" s="42" t="s">
        <v>172</v>
      </c>
      <c r="O116" s="43">
        <v>2200000</v>
      </c>
      <c r="P116" s="43">
        <v>3600000</v>
      </c>
      <c r="Q116" s="42">
        <v>5000000</v>
      </c>
      <c r="R116" s="43">
        <v>4000000</v>
      </c>
      <c r="S116" s="42">
        <v>4000000</v>
      </c>
      <c r="T116" s="44">
        <v>50000</v>
      </c>
      <c r="U116" s="43">
        <v>2050000</v>
      </c>
      <c r="V116" s="44">
        <v>50000</v>
      </c>
      <c r="W116" s="44">
        <v>50000</v>
      </c>
      <c r="X116" s="44">
        <v>50000</v>
      </c>
      <c r="Y116" s="88"/>
      <c r="Z116" s="231">
        <v>7000</v>
      </c>
      <c r="AA116" s="231">
        <v>7000</v>
      </c>
      <c r="AB116" s="231">
        <v>7000</v>
      </c>
      <c r="AD116" s="104" t="s">
        <v>4</v>
      </c>
      <c r="AE116" s="9">
        <f ca="1">AnzahlBackgroundColor(E116:AB116)</f>
        <v>6</v>
      </c>
      <c r="AF116" s="16">
        <f t="shared" ca="1" si="32"/>
        <v>17</v>
      </c>
      <c r="AG116">
        <f t="shared" ca="1" si="33"/>
        <v>35.294117647058826</v>
      </c>
      <c r="AH116">
        <f ca="1">AE116*0.1</f>
        <v>0.60000000000000009</v>
      </c>
      <c r="AJ116">
        <f t="shared" si="19"/>
        <v>27</v>
      </c>
    </row>
    <row r="117" spans="1:36" x14ac:dyDescent="0.2">
      <c r="A117" s="104" t="s">
        <v>5</v>
      </c>
      <c r="B117" s="191"/>
      <c r="C117" s="186"/>
      <c r="D117" s="199"/>
      <c r="E117" s="42">
        <v>25712500</v>
      </c>
      <c r="F117" s="43">
        <v>1500000</v>
      </c>
      <c r="G117" s="42">
        <v>14001000</v>
      </c>
      <c r="H117" s="42">
        <v>6000000</v>
      </c>
      <c r="I117" s="42">
        <v>7000000</v>
      </c>
      <c r="J117" s="42">
        <v>8000000</v>
      </c>
      <c r="K117" s="42">
        <v>6000000</v>
      </c>
      <c r="L117" s="43">
        <v>5000000</v>
      </c>
      <c r="M117" s="43">
        <v>8000000</v>
      </c>
      <c r="N117" s="43">
        <v>5300000</v>
      </c>
      <c r="O117" s="43">
        <v>5200000</v>
      </c>
      <c r="P117" s="42">
        <v>7100000</v>
      </c>
      <c r="Q117" s="42">
        <v>7000000</v>
      </c>
      <c r="R117" s="43">
        <v>10000000</v>
      </c>
      <c r="S117" s="43">
        <v>10000000</v>
      </c>
      <c r="T117" s="44">
        <v>50000</v>
      </c>
      <c r="U117" s="44"/>
      <c r="V117" s="44">
        <v>50000</v>
      </c>
      <c r="W117" s="44">
        <v>50000</v>
      </c>
      <c r="X117" s="43">
        <v>3050000</v>
      </c>
      <c r="Y117" s="249"/>
      <c r="Z117" s="231">
        <v>7000</v>
      </c>
      <c r="AA117" s="231">
        <v>7000</v>
      </c>
      <c r="AB117" s="231">
        <v>7000</v>
      </c>
      <c r="AD117" s="104" t="s">
        <v>5</v>
      </c>
      <c r="AE117" s="9">
        <f ca="1">AnzahlBackgroundColor(E117:AB117)</f>
        <v>9</v>
      </c>
      <c r="AF117" s="16">
        <f t="shared" ca="1" si="32"/>
        <v>17</v>
      </c>
      <c r="AG117">
        <f t="shared" ca="1" si="33"/>
        <v>52.941176470588239</v>
      </c>
      <c r="AH117">
        <f ca="1">AE117*0.2</f>
        <v>1.8</v>
      </c>
      <c r="AJ117">
        <f t="shared" si="19"/>
        <v>27</v>
      </c>
    </row>
    <row r="118" spans="1:36" x14ac:dyDescent="0.2">
      <c r="A118" s="104" t="s">
        <v>6</v>
      </c>
      <c r="B118" s="191"/>
      <c r="C118" s="186"/>
      <c r="D118" s="199"/>
      <c r="E118" s="42">
        <v>21912500</v>
      </c>
      <c r="F118" s="42">
        <v>2500000</v>
      </c>
      <c r="G118" s="42">
        <v>10001000</v>
      </c>
      <c r="H118" s="43">
        <v>3000000</v>
      </c>
      <c r="I118" s="43">
        <v>3000000</v>
      </c>
      <c r="J118" s="43">
        <v>4000000</v>
      </c>
      <c r="K118" s="42">
        <v>4000000</v>
      </c>
      <c r="L118" s="43">
        <v>2000000</v>
      </c>
      <c r="M118" s="43">
        <v>5000000</v>
      </c>
      <c r="N118" s="42">
        <v>3500000</v>
      </c>
      <c r="O118" s="43">
        <v>2600000</v>
      </c>
      <c r="P118" s="42">
        <v>6100000</v>
      </c>
      <c r="Q118" s="42">
        <v>7000000</v>
      </c>
      <c r="R118" s="42">
        <v>5000000</v>
      </c>
      <c r="S118" s="43">
        <v>5000000</v>
      </c>
      <c r="T118" s="44">
        <v>50000</v>
      </c>
      <c r="U118" s="44"/>
      <c r="V118" s="44">
        <v>50000</v>
      </c>
      <c r="W118" s="44">
        <v>50000</v>
      </c>
      <c r="X118" s="44">
        <v>50000</v>
      </c>
      <c r="Y118" s="88"/>
      <c r="Z118" s="231">
        <v>7000</v>
      </c>
      <c r="AA118" s="231">
        <v>7000</v>
      </c>
      <c r="AB118" s="231">
        <v>7000</v>
      </c>
      <c r="AD118" s="104" t="s">
        <v>6</v>
      </c>
      <c r="AE118" s="9">
        <f ca="1">AnzahlBackgroundColor(E118:AB118)</f>
        <v>8</v>
      </c>
      <c r="AF118" s="16">
        <f t="shared" ca="1" si="32"/>
        <v>16</v>
      </c>
      <c r="AG118">
        <f t="shared" ca="1" si="33"/>
        <v>50</v>
      </c>
      <c r="AH118">
        <f ca="1">AE118*0.5</f>
        <v>4</v>
      </c>
      <c r="AJ118">
        <f t="shared" si="19"/>
        <v>27</v>
      </c>
    </row>
    <row r="119" spans="1:36" x14ac:dyDescent="0.2">
      <c r="A119" s="104" t="s">
        <v>7</v>
      </c>
      <c r="B119" s="191"/>
      <c r="C119" s="186"/>
      <c r="D119" s="199"/>
      <c r="E119" s="42">
        <v>21313525</v>
      </c>
      <c r="F119" s="43">
        <v>1500000</v>
      </c>
      <c r="G119" s="42">
        <v>9001000</v>
      </c>
      <c r="H119" s="43">
        <v>2000000</v>
      </c>
      <c r="I119" s="43">
        <v>1000000</v>
      </c>
      <c r="J119" s="44">
        <v>480000</v>
      </c>
      <c r="K119" s="42">
        <v>480000</v>
      </c>
      <c r="L119" s="44">
        <v>240000</v>
      </c>
      <c r="M119" s="42">
        <v>1000000</v>
      </c>
      <c r="N119" s="43">
        <v>1520000</v>
      </c>
      <c r="O119" s="42">
        <v>2240000</v>
      </c>
      <c r="P119" s="43">
        <v>3320000</v>
      </c>
      <c r="Q119" s="43">
        <v>5000000</v>
      </c>
      <c r="R119" s="43">
        <v>1000000</v>
      </c>
      <c r="S119" s="43">
        <v>1000000</v>
      </c>
      <c r="T119" s="44">
        <v>50000</v>
      </c>
      <c r="U119" s="44"/>
      <c r="V119" s="44">
        <v>50000</v>
      </c>
      <c r="W119" s="44">
        <v>50000</v>
      </c>
      <c r="X119" s="44">
        <v>50000</v>
      </c>
      <c r="Y119" s="88"/>
      <c r="Z119" s="231">
        <v>7000</v>
      </c>
      <c r="AA119" s="231">
        <v>7000</v>
      </c>
      <c r="AB119" s="231">
        <v>7000</v>
      </c>
      <c r="AD119" s="104" t="s">
        <v>7</v>
      </c>
      <c r="AE119" s="9">
        <f ca="1">AnzahlBackgroundColor(E119:AB119)</f>
        <v>5</v>
      </c>
      <c r="AF119" s="16">
        <f t="shared" ca="1" si="32"/>
        <v>14</v>
      </c>
      <c r="AG119">
        <f t="shared" ca="1" si="33"/>
        <v>35.714285714285715</v>
      </c>
      <c r="AH119">
        <f ca="1">AE119*1</f>
        <v>5</v>
      </c>
      <c r="AJ119">
        <f t="shared" si="19"/>
        <v>27</v>
      </c>
    </row>
    <row r="120" spans="1:36" x14ac:dyDescent="0.2">
      <c r="A120" s="104" t="s">
        <v>8</v>
      </c>
      <c r="B120" s="194"/>
      <c r="C120" s="195"/>
      <c r="D120" s="200"/>
      <c r="E120" s="42">
        <v>18512500</v>
      </c>
      <c r="F120" s="42">
        <v>3500000</v>
      </c>
      <c r="G120" s="42">
        <v>7553200</v>
      </c>
      <c r="H120" s="43">
        <v>3500000</v>
      </c>
      <c r="I120" s="43">
        <v>2000000</v>
      </c>
      <c r="J120" s="42">
        <v>4000000</v>
      </c>
      <c r="K120" s="42">
        <v>6000000</v>
      </c>
      <c r="L120" s="44">
        <v>240000</v>
      </c>
      <c r="M120" s="42">
        <v>3500000</v>
      </c>
      <c r="N120" s="43">
        <v>2320000</v>
      </c>
      <c r="O120" s="43">
        <v>3760000</v>
      </c>
      <c r="P120" s="42">
        <v>3120000</v>
      </c>
      <c r="Q120" s="42">
        <v>9000000</v>
      </c>
      <c r="R120" s="42">
        <v>4000000</v>
      </c>
      <c r="S120" s="43">
        <v>4000000</v>
      </c>
      <c r="T120" s="44">
        <v>50000</v>
      </c>
      <c r="U120" s="44"/>
      <c r="V120" s="44">
        <v>50000</v>
      </c>
      <c r="W120" s="44">
        <v>50000</v>
      </c>
      <c r="X120" s="44">
        <v>50000</v>
      </c>
      <c r="Y120" s="88"/>
      <c r="Z120" s="231">
        <v>7000</v>
      </c>
      <c r="AA120" s="231">
        <v>7000</v>
      </c>
      <c r="AB120" s="231">
        <v>7000</v>
      </c>
      <c r="AD120" s="104" t="s">
        <v>8</v>
      </c>
      <c r="AE120" s="9">
        <f ca="1">AnzahlBackgroundColor(E120:AB120)</f>
        <v>9</v>
      </c>
      <c r="AF120" s="16">
        <f ca="1">AJ120-AnzahlBackgroundColor(B120:AB120)</f>
        <v>15</v>
      </c>
      <c r="AG120">
        <f ca="1">AE120/AF120*100</f>
        <v>60</v>
      </c>
      <c r="AH120">
        <f ca="1">AE120*2</f>
        <v>18</v>
      </c>
      <c r="AJ120">
        <f t="shared" si="19"/>
        <v>27</v>
      </c>
    </row>
    <row r="121" spans="1:36" x14ac:dyDescent="0.2">
      <c r="E121" s="121" t="s">
        <v>116</v>
      </c>
      <c r="G121" s="122" t="s">
        <v>117</v>
      </c>
      <c r="R121" t="s">
        <v>164</v>
      </c>
      <c r="AD121" s="104" t="s">
        <v>75</v>
      </c>
      <c r="AE121" s="19">
        <f ca="1" xml:space="preserve"> AE113+AE114+AE115+AE116+AE117+AE118+AE119+AE120</f>
        <v>47</v>
      </c>
      <c r="AF121" s="19">
        <f ca="1" xml:space="preserve"> AF113+AF114+AF115+AF116+AF117+AF118+AF119+AF120</f>
        <v>132</v>
      </c>
      <c r="AG121" s="19">
        <f t="shared" ref="AG121" ca="1" si="34">AE121/AF121*100</f>
        <v>35.606060606060609</v>
      </c>
      <c r="AH121" s="19">
        <f ca="1" xml:space="preserve"> AH113+AH114+AH115+AH116+AH117+AH118+AH119+AH120</f>
        <v>29.73</v>
      </c>
      <c r="AJ121">
        <f t="shared" si="19"/>
        <v>27</v>
      </c>
    </row>
    <row r="122" spans="1:36" x14ac:dyDescent="0.2">
      <c r="B122" s="1" t="s">
        <v>10</v>
      </c>
      <c r="C122" s="1" t="s">
        <v>10</v>
      </c>
      <c r="D122" s="1" t="s">
        <v>10</v>
      </c>
      <c r="E122" s="1" t="s">
        <v>10</v>
      </c>
      <c r="F122" s="1" t="s">
        <v>10</v>
      </c>
      <c r="G122" s="1" t="s">
        <v>10</v>
      </c>
      <c r="H122" s="1" t="s">
        <v>10</v>
      </c>
      <c r="I122" s="1" t="s">
        <v>10</v>
      </c>
      <c r="J122" s="1" t="s">
        <v>10</v>
      </c>
      <c r="K122" s="1" t="s">
        <v>10</v>
      </c>
      <c r="L122" s="1" t="s">
        <v>10</v>
      </c>
      <c r="M122" s="1" t="s">
        <v>10</v>
      </c>
      <c r="N122" s="1" t="s">
        <v>10</v>
      </c>
      <c r="O122" s="1" t="s">
        <v>10</v>
      </c>
      <c r="P122" s="1" t="s">
        <v>10</v>
      </c>
      <c r="Q122" s="1" t="s">
        <v>10</v>
      </c>
      <c r="R122" s="1" t="s">
        <v>10</v>
      </c>
      <c r="S122" s="1" t="s">
        <v>10</v>
      </c>
      <c r="T122" s="1" t="s">
        <v>10</v>
      </c>
      <c r="U122" s="1" t="s">
        <v>10</v>
      </c>
      <c r="V122" s="1" t="s">
        <v>10</v>
      </c>
      <c r="W122" s="1" t="s">
        <v>10</v>
      </c>
      <c r="X122" s="1" t="s">
        <v>10</v>
      </c>
      <c r="Y122" s="1" t="s">
        <v>10</v>
      </c>
      <c r="Z122" s="1" t="s">
        <v>10</v>
      </c>
      <c r="AA122" s="1" t="s">
        <v>10</v>
      </c>
      <c r="AB122" s="1" t="s">
        <v>10</v>
      </c>
      <c r="AJ122">
        <f t="shared" si="19"/>
        <v>27</v>
      </c>
    </row>
    <row r="123" spans="1:36" x14ac:dyDescent="0.2">
      <c r="B123" s="4">
        <v>1999</v>
      </c>
      <c r="C123" s="4">
        <v>2000</v>
      </c>
      <c r="D123" s="4">
        <v>2001</v>
      </c>
      <c r="E123" s="4">
        <v>2002</v>
      </c>
      <c r="F123" s="4">
        <v>2003</v>
      </c>
      <c r="G123" s="4">
        <v>2004</v>
      </c>
      <c r="H123" s="4">
        <v>2005</v>
      </c>
      <c r="I123" s="4">
        <v>2006</v>
      </c>
      <c r="J123" s="4">
        <v>2007</v>
      </c>
      <c r="K123" s="4">
        <v>2008</v>
      </c>
      <c r="L123" s="4">
        <v>2009</v>
      </c>
      <c r="M123" s="4">
        <v>2010</v>
      </c>
      <c r="N123" s="4">
        <v>2011</v>
      </c>
      <c r="O123" s="4">
        <v>2012</v>
      </c>
      <c r="P123" s="4">
        <v>2013</v>
      </c>
      <c r="Q123" s="4">
        <v>2014</v>
      </c>
      <c r="R123" s="4">
        <v>2015</v>
      </c>
      <c r="S123" s="4">
        <v>2016</v>
      </c>
      <c r="T123" s="4">
        <v>2017</v>
      </c>
      <c r="U123" s="4">
        <v>2018</v>
      </c>
      <c r="V123" s="4">
        <v>2019</v>
      </c>
      <c r="W123" s="4">
        <v>2020</v>
      </c>
      <c r="X123" s="4">
        <v>2021</v>
      </c>
      <c r="Y123" s="4">
        <v>2022</v>
      </c>
      <c r="Z123" s="4">
        <v>2023</v>
      </c>
      <c r="AA123" s="4">
        <v>2024</v>
      </c>
      <c r="AB123" s="4">
        <v>2025</v>
      </c>
      <c r="AE123" t="s">
        <v>73</v>
      </c>
      <c r="AF123" s="4" t="s">
        <v>74</v>
      </c>
      <c r="AG123" s="4" t="s">
        <v>77</v>
      </c>
      <c r="AH123" t="s">
        <v>78</v>
      </c>
      <c r="AJ123">
        <f t="shared" si="19"/>
        <v>27</v>
      </c>
    </row>
    <row r="124" spans="1:36" x14ac:dyDescent="0.2">
      <c r="A124" s="104" t="s">
        <v>1</v>
      </c>
      <c r="B124" s="187"/>
      <c r="C124" s="188"/>
      <c r="D124" s="188"/>
      <c r="E124" s="188"/>
      <c r="F124" s="188"/>
      <c r="G124" s="188"/>
      <c r="H124" s="188"/>
      <c r="I124" s="188"/>
      <c r="J124" s="198"/>
      <c r="K124" s="42">
        <v>14960000</v>
      </c>
      <c r="L124" s="44" t="s">
        <v>101</v>
      </c>
      <c r="M124" s="44" t="s">
        <v>101</v>
      </c>
      <c r="N124" s="44" t="s">
        <v>102</v>
      </c>
      <c r="O124" s="44" t="s">
        <v>102</v>
      </c>
      <c r="P124" s="42">
        <v>11000000</v>
      </c>
      <c r="Q124" s="6">
        <v>25000</v>
      </c>
      <c r="R124" s="44">
        <v>30000</v>
      </c>
      <c r="S124" s="44">
        <v>250000</v>
      </c>
      <c r="T124" s="44">
        <v>25000</v>
      </c>
      <c r="U124" s="44">
        <v>15000</v>
      </c>
      <c r="V124" s="44">
        <v>15000</v>
      </c>
      <c r="W124" s="44">
        <v>10000</v>
      </c>
      <c r="X124" s="44">
        <v>11000</v>
      </c>
      <c r="Y124" s="44">
        <v>12000</v>
      </c>
      <c r="Z124" s="44">
        <v>13000</v>
      </c>
      <c r="AA124" s="44">
        <v>14000</v>
      </c>
      <c r="AB124" s="44">
        <v>15000</v>
      </c>
      <c r="AD124" s="104" t="s">
        <v>1</v>
      </c>
      <c r="AE124" s="9">
        <f ca="1">AnzahlBackgroundColor(B124:AB124)</f>
        <v>2</v>
      </c>
      <c r="AF124" s="16">
        <f ca="1">AJ124-AnzahlBackgroundColor(B124:AB124)</f>
        <v>2</v>
      </c>
      <c r="AG124">
        <f ca="1">AE124/AF124*100</f>
        <v>100</v>
      </c>
      <c r="AH124">
        <f ca="1">AE124*0.01</f>
        <v>0.02</v>
      </c>
      <c r="AJ124">
        <f t="shared" si="19"/>
        <v>27</v>
      </c>
    </row>
    <row r="125" spans="1:36" x14ac:dyDescent="0.2">
      <c r="A125" s="104" t="s">
        <v>2</v>
      </c>
      <c r="B125" s="191"/>
      <c r="C125" s="186"/>
      <c r="D125" s="186"/>
      <c r="E125" s="186"/>
      <c r="F125" s="186"/>
      <c r="G125" s="186"/>
      <c r="H125" s="186"/>
      <c r="I125" s="186"/>
      <c r="J125" s="199"/>
      <c r="K125" s="42">
        <v>35960000</v>
      </c>
      <c r="L125" s="44" t="s">
        <v>101</v>
      </c>
      <c r="M125" s="44" t="s">
        <v>101</v>
      </c>
      <c r="N125" s="44" t="s">
        <v>102</v>
      </c>
      <c r="O125" s="44" t="s">
        <v>102</v>
      </c>
      <c r="P125" s="205">
        <v>7400000</v>
      </c>
      <c r="Q125" s="6">
        <v>25000</v>
      </c>
      <c r="R125" s="43">
        <v>3100000</v>
      </c>
      <c r="S125" s="44">
        <v>250000</v>
      </c>
      <c r="T125" s="44">
        <v>25000</v>
      </c>
      <c r="U125" s="44">
        <v>15000</v>
      </c>
      <c r="V125" s="44">
        <v>15000</v>
      </c>
      <c r="W125" s="44">
        <v>10000</v>
      </c>
      <c r="X125" s="44">
        <v>11000</v>
      </c>
      <c r="Y125" s="44">
        <v>12000</v>
      </c>
      <c r="Z125" s="44">
        <v>13000</v>
      </c>
      <c r="AA125" s="44">
        <v>14000</v>
      </c>
      <c r="AB125" s="44">
        <v>15000</v>
      </c>
      <c r="AD125" s="104" t="s">
        <v>2</v>
      </c>
      <c r="AE125" s="9">
        <f ca="1">AnzahlBackgroundColor(B125:AB125)</f>
        <v>1</v>
      </c>
      <c r="AF125" s="16">
        <f t="shared" ref="AF125:AF131" ca="1" si="35">AJ125-AnzahlBackgroundColor(B125:AB125)</f>
        <v>3</v>
      </c>
      <c r="AG125">
        <f t="shared" ref="AG125:AG130" ca="1" si="36">AE125/AF125*100</f>
        <v>33.333333333333329</v>
      </c>
      <c r="AH125">
        <f ca="1">AE125*0.02</f>
        <v>0.02</v>
      </c>
      <c r="AJ125">
        <f t="shared" si="19"/>
        <v>27</v>
      </c>
    </row>
    <row r="126" spans="1:36" x14ac:dyDescent="0.2">
      <c r="A126" s="104" t="s">
        <v>3</v>
      </c>
      <c r="B126" s="191"/>
      <c r="C126" s="186"/>
      <c r="D126" s="186"/>
      <c r="E126" s="186"/>
      <c r="F126" s="186"/>
      <c r="G126" s="186"/>
      <c r="H126" s="186"/>
      <c r="I126" s="186"/>
      <c r="J126" s="199"/>
      <c r="K126" s="42">
        <v>33960000</v>
      </c>
      <c r="L126" s="44" t="s">
        <v>101</v>
      </c>
      <c r="M126" s="44" t="s">
        <v>101</v>
      </c>
      <c r="N126" s="44" t="s">
        <v>102</v>
      </c>
      <c r="O126" s="44" t="s">
        <v>102</v>
      </c>
      <c r="P126" s="42">
        <v>10000000</v>
      </c>
      <c r="Q126" s="6">
        <v>25000</v>
      </c>
      <c r="R126" s="43">
        <v>12000000</v>
      </c>
      <c r="S126" s="44">
        <v>250000</v>
      </c>
      <c r="T126" s="44">
        <v>25000</v>
      </c>
      <c r="U126" s="44">
        <v>15000</v>
      </c>
      <c r="V126" s="44">
        <v>15000</v>
      </c>
      <c r="W126" s="44">
        <v>10000</v>
      </c>
      <c r="X126" s="44">
        <v>11000</v>
      </c>
      <c r="Y126" s="44">
        <v>12000</v>
      </c>
      <c r="Z126" s="44">
        <v>13000</v>
      </c>
      <c r="AA126" s="44">
        <v>14000</v>
      </c>
      <c r="AB126" s="44">
        <v>15000</v>
      </c>
      <c r="AD126" s="104" t="s">
        <v>3</v>
      </c>
      <c r="AE126" s="9">
        <f ca="1">AnzahlBackgroundColor(B126:AB126)</f>
        <v>2</v>
      </c>
      <c r="AF126" s="16">
        <f t="shared" ca="1" si="35"/>
        <v>3</v>
      </c>
      <c r="AG126">
        <f t="shared" ca="1" si="36"/>
        <v>66.666666666666657</v>
      </c>
      <c r="AH126">
        <f ca="1">AE126*0.05</f>
        <v>0.1</v>
      </c>
      <c r="AJ126">
        <f t="shared" si="19"/>
        <v>27</v>
      </c>
    </row>
    <row r="127" spans="1:36" x14ac:dyDescent="0.2">
      <c r="A127" s="104" t="s">
        <v>4</v>
      </c>
      <c r="B127" s="191"/>
      <c r="C127" s="186"/>
      <c r="D127" s="186"/>
      <c r="E127" s="186"/>
      <c r="F127" s="186"/>
      <c r="G127" s="186"/>
      <c r="H127" s="186"/>
      <c r="I127" s="186"/>
      <c r="J127" s="199"/>
      <c r="K127" s="42">
        <v>40960000</v>
      </c>
      <c r="L127" s="44" t="s">
        <v>101</v>
      </c>
      <c r="M127" s="44" t="s">
        <v>101</v>
      </c>
      <c r="N127" s="44" t="s">
        <v>102</v>
      </c>
      <c r="O127" s="44" t="s">
        <v>102</v>
      </c>
      <c r="P127" s="44" t="s">
        <v>104</v>
      </c>
      <c r="Q127" s="6">
        <v>25000</v>
      </c>
      <c r="R127" s="44">
        <v>30000</v>
      </c>
      <c r="S127" s="44">
        <v>200000</v>
      </c>
      <c r="T127" s="44">
        <v>25000</v>
      </c>
      <c r="U127" s="44">
        <v>15000</v>
      </c>
      <c r="V127" s="44">
        <v>15000</v>
      </c>
      <c r="W127" s="44">
        <v>10000</v>
      </c>
      <c r="X127" s="44">
        <v>11000</v>
      </c>
      <c r="Y127" s="44">
        <v>12000</v>
      </c>
      <c r="Z127" s="44">
        <v>13000</v>
      </c>
      <c r="AA127" s="44">
        <v>14000</v>
      </c>
      <c r="AB127" s="44">
        <v>15000</v>
      </c>
      <c r="AD127" s="104" t="s">
        <v>4</v>
      </c>
      <c r="AE127" s="9">
        <f ca="1">AnzahlBackgroundColor(B127:AB127)</f>
        <v>1</v>
      </c>
      <c r="AF127" s="16">
        <f t="shared" ca="1" si="35"/>
        <v>1</v>
      </c>
      <c r="AG127">
        <f t="shared" ca="1" si="36"/>
        <v>100</v>
      </c>
      <c r="AH127">
        <f ca="1">AE127*0.1</f>
        <v>0.1</v>
      </c>
      <c r="AJ127">
        <f t="shared" si="19"/>
        <v>27</v>
      </c>
    </row>
    <row r="128" spans="1:36" x14ac:dyDescent="0.2">
      <c r="A128" s="104" t="s">
        <v>5</v>
      </c>
      <c r="B128" s="191"/>
      <c r="C128" s="186"/>
      <c r="D128" s="186"/>
      <c r="E128" s="186"/>
      <c r="F128" s="186"/>
      <c r="G128" s="186"/>
      <c r="H128" s="186"/>
      <c r="I128" s="186"/>
      <c r="J128" s="199"/>
      <c r="K128" s="42">
        <v>39960000</v>
      </c>
      <c r="L128" s="44" t="s">
        <v>101</v>
      </c>
      <c r="M128" s="44" t="s">
        <v>101</v>
      </c>
      <c r="N128" s="44" t="s">
        <v>102</v>
      </c>
      <c r="O128" s="44" t="s">
        <v>102</v>
      </c>
      <c r="P128" s="44" t="s">
        <v>104</v>
      </c>
      <c r="Q128" s="6">
        <v>25000</v>
      </c>
      <c r="R128" s="44">
        <v>30000</v>
      </c>
      <c r="S128" s="44">
        <v>200000</v>
      </c>
      <c r="T128" s="44">
        <v>25000</v>
      </c>
      <c r="U128" s="44">
        <v>15000</v>
      </c>
      <c r="V128" s="44">
        <v>15000</v>
      </c>
      <c r="W128" s="44">
        <v>10000</v>
      </c>
      <c r="X128" s="44">
        <v>11000</v>
      </c>
      <c r="Y128" s="44">
        <v>12000</v>
      </c>
      <c r="Z128" s="44">
        <v>13000</v>
      </c>
      <c r="AA128" s="44">
        <v>14000</v>
      </c>
      <c r="AB128" s="44">
        <v>15000</v>
      </c>
      <c r="AD128" s="104" t="s">
        <v>5</v>
      </c>
      <c r="AE128" s="9">
        <f ca="1">AnzahlBackgroundColor(B128:AB128)</f>
        <v>1</v>
      </c>
      <c r="AF128" s="16">
        <f t="shared" ca="1" si="35"/>
        <v>1</v>
      </c>
      <c r="AG128">
        <f t="shared" ca="1" si="36"/>
        <v>100</v>
      </c>
      <c r="AH128">
        <f ca="1">AE128*0.2</f>
        <v>0.2</v>
      </c>
      <c r="AJ128">
        <f t="shared" si="19"/>
        <v>27</v>
      </c>
    </row>
    <row r="129" spans="1:36" x14ac:dyDescent="0.2">
      <c r="A129" s="104" t="s">
        <v>6</v>
      </c>
      <c r="B129" s="191"/>
      <c r="C129" s="186"/>
      <c r="D129" s="186"/>
      <c r="E129" s="186"/>
      <c r="F129" s="186"/>
      <c r="G129" s="186"/>
      <c r="H129" s="186"/>
      <c r="I129" s="186"/>
      <c r="J129" s="199"/>
      <c r="K129" s="42">
        <v>14960000</v>
      </c>
      <c r="L129" s="44" t="s">
        <v>101</v>
      </c>
      <c r="M129" s="44" t="s">
        <v>101</v>
      </c>
      <c r="N129" s="44" t="s">
        <v>102</v>
      </c>
      <c r="O129" s="44" t="s">
        <v>102</v>
      </c>
      <c r="P129" s="42">
        <v>3000000</v>
      </c>
      <c r="Q129" s="6">
        <v>25000</v>
      </c>
      <c r="R129" s="44">
        <v>30000</v>
      </c>
      <c r="S129" s="44">
        <v>200000</v>
      </c>
      <c r="T129" s="44">
        <v>25000</v>
      </c>
      <c r="U129" s="44">
        <v>15000</v>
      </c>
      <c r="V129" s="44">
        <v>15000</v>
      </c>
      <c r="W129" s="44">
        <v>10000</v>
      </c>
      <c r="X129" s="44">
        <v>11000</v>
      </c>
      <c r="Y129" s="44">
        <v>12000</v>
      </c>
      <c r="Z129" s="44">
        <v>13000</v>
      </c>
      <c r="AA129" s="44">
        <v>14000</v>
      </c>
      <c r="AB129" s="44">
        <v>15000</v>
      </c>
      <c r="AD129" s="104" t="s">
        <v>6</v>
      </c>
      <c r="AE129" s="9">
        <f ca="1">AnzahlBackgroundColor(B129:AB129)</f>
        <v>2</v>
      </c>
      <c r="AF129" s="16">
        <f t="shared" ca="1" si="35"/>
        <v>2</v>
      </c>
      <c r="AG129">
        <f t="shared" ca="1" si="36"/>
        <v>100</v>
      </c>
      <c r="AH129">
        <f ca="1">AE129*0.5</f>
        <v>1</v>
      </c>
      <c r="AJ129">
        <f t="shared" si="19"/>
        <v>27</v>
      </c>
    </row>
    <row r="130" spans="1:36" x14ac:dyDescent="0.2">
      <c r="A130" s="104" t="s">
        <v>7</v>
      </c>
      <c r="B130" s="191"/>
      <c r="C130" s="186"/>
      <c r="D130" s="186"/>
      <c r="E130" s="186"/>
      <c r="F130" s="186"/>
      <c r="G130" s="186"/>
      <c r="H130" s="186"/>
      <c r="I130" s="186"/>
      <c r="J130" s="199"/>
      <c r="K130" s="42">
        <v>13960000</v>
      </c>
      <c r="L130" s="44" t="s">
        <v>101</v>
      </c>
      <c r="M130" s="44" t="s">
        <v>101</v>
      </c>
      <c r="N130" s="44" t="s">
        <v>102</v>
      </c>
      <c r="O130" s="44" t="s">
        <v>102</v>
      </c>
      <c r="P130" s="44" t="s">
        <v>104</v>
      </c>
      <c r="Q130" s="6">
        <v>25000</v>
      </c>
      <c r="R130" s="44">
        <v>30000</v>
      </c>
      <c r="S130" s="44">
        <v>125000</v>
      </c>
      <c r="T130" s="44">
        <v>25000</v>
      </c>
      <c r="U130" s="44">
        <v>15000</v>
      </c>
      <c r="V130" s="44">
        <v>15000</v>
      </c>
      <c r="W130" s="44">
        <v>10000</v>
      </c>
      <c r="X130" s="44">
        <v>11000</v>
      </c>
      <c r="Y130" s="44">
        <v>12000</v>
      </c>
      <c r="Z130" s="44">
        <v>13000</v>
      </c>
      <c r="AA130" s="44">
        <v>14000</v>
      </c>
      <c r="AB130" s="44">
        <v>15000</v>
      </c>
      <c r="AD130" s="104" t="s">
        <v>7</v>
      </c>
      <c r="AE130" s="9">
        <f ca="1">AnzahlBackgroundColor(B130:AB130)</f>
        <v>1</v>
      </c>
      <c r="AF130" s="16">
        <f t="shared" ca="1" si="35"/>
        <v>1</v>
      </c>
      <c r="AG130">
        <f t="shared" ca="1" si="36"/>
        <v>100</v>
      </c>
      <c r="AH130">
        <f ca="1">AE130*1</f>
        <v>1</v>
      </c>
      <c r="AJ130">
        <f t="shared" si="19"/>
        <v>27</v>
      </c>
    </row>
    <row r="131" spans="1:36" x14ac:dyDescent="0.2">
      <c r="A131" s="104" t="s">
        <v>8</v>
      </c>
      <c r="B131" s="194"/>
      <c r="C131" s="195"/>
      <c r="D131" s="195"/>
      <c r="E131" s="195"/>
      <c r="F131" s="195"/>
      <c r="G131" s="195"/>
      <c r="H131" s="195"/>
      <c r="I131" s="195"/>
      <c r="J131" s="200"/>
      <c r="K131" s="42">
        <v>9960000</v>
      </c>
      <c r="L131" s="44" t="s">
        <v>101</v>
      </c>
      <c r="M131" s="42">
        <v>1990000</v>
      </c>
      <c r="N131" s="44" t="s">
        <v>102</v>
      </c>
      <c r="O131" s="44" t="s">
        <v>102</v>
      </c>
      <c r="P131" s="205">
        <v>3600000</v>
      </c>
      <c r="Q131" s="6">
        <v>25000</v>
      </c>
      <c r="R131" s="44">
        <v>30000</v>
      </c>
      <c r="S131" s="44">
        <v>125000</v>
      </c>
      <c r="T131" s="44">
        <v>25000</v>
      </c>
      <c r="U131" s="44">
        <v>15000</v>
      </c>
      <c r="V131" s="44">
        <v>15000</v>
      </c>
      <c r="W131" s="44">
        <v>10000</v>
      </c>
      <c r="X131" s="44">
        <v>11000</v>
      </c>
      <c r="Y131" s="44">
        <v>12000</v>
      </c>
      <c r="Z131" s="44">
        <v>13000</v>
      </c>
      <c r="AA131" s="44">
        <v>14000</v>
      </c>
      <c r="AB131" s="44">
        <v>15000</v>
      </c>
      <c r="AD131" s="104" t="s">
        <v>8</v>
      </c>
      <c r="AE131" s="9">
        <f ca="1">AnzahlBackgroundColor(B131:AB131)</f>
        <v>2</v>
      </c>
      <c r="AF131" s="16">
        <f t="shared" ca="1" si="35"/>
        <v>3</v>
      </c>
      <c r="AG131">
        <f ca="1">AE131/AF131*100</f>
        <v>66.666666666666657</v>
      </c>
      <c r="AH131">
        <f ca="1">AE131*2</f>
        <v>4</v>
      </c>
      <c r="AJ131">
        <f t="shared" si="19"/>
        <v>27</v>
      </c>
    </row>
    <row r="132" spans="1:36" x14ac:dyDescent="0.2">
      <c r="K132" s="122" t="s">
        <v>117</v>
      </c>
      <c r="AD132" s="104" t="s">
        <v>75</v>
      </c>
      <c r="AE132" s="19">
        <f ca="1" xml:space="preserve"> AE124+AE125+AE126+AE127+AE128+AE129+AE130+AE131</f>
        <v>12</v>
      </c>
      <c r="AF132" s="19">
        <f ca="1" xml:space="preserve"> AF124+AF125+AF126+AF127+AF128+AF129+AF130+AF131</f>
        <v>16</v>
      </c>
      <c r="AG132" s="19">
        <f t="shared" ref="AG132" ca="1" si="37">AE132/AF132*100</f>
        <v>75</v>
      </c>
      <c r="AH132" s="19">
        <f ca="1" xml:space="preserve"> AH124+AH125+AH126+AH127+AH128+AH129+AH130+AH131</f>
        <v>6.4399999999999995</v>
      </c>
      <c r="AJ132">
        <f t="shared" ref="AJ132:AJ195" si="38">2025-1999+1</f>
        <v>27</v>
      </c>
    </row>
    <row r="133" spans="1:36" x14ac:dyDescent="0.2">
      <c r="B133" s="1" t="s">
        <v>206</v>
      </c>
      <c r="C133" s="1" t="s">
        <v>206</v>
      </c>
      <c r="D133" s="1" t="s">
        <v>206</v>
      </c>
      <c r="E133" s="1" t="s">
        <v>206</v>
      </c>
      <c r="F133" s="1" t="s">
        <v>206</v>
      </c>
      <c r="G133" s="1" t="s">
        <v>206</v>
      </c>
      <c r="H133" s="1" t="s">
        <v>206</v>
      </c>
      <c r="I133" s="1" t="s">
        <v>206</v>
      </c>
      <c r="J133" s="1" t="s">
        <v>206</v>
      </c>
      <c r="K133" s="1" t="s">
        <v>206</v>
      </c>
      <c r="L133" s="1" t="s">
        <v>206</v>
      </c>
      <c r="M133" s="1" t="s">
        <v>206</v>
      </c>
      <c r="N133" s="1" t="s">
        <v>206</v>
      </c>
      <c r="O133" s="1" t="s">
        <v>206</v>
      </c>
      <c r="P133" s="1" t="s">
        <v>206</v>
      </c>
      <c r="Q133" s="1" t="s">
        <v>206</v>
      </c>
      <c r="R133" s="1" t="s">
        <v>206</v>
      </c>
      <c r="S133" s="1" t="s">
        <v>206</v>
      </c>
      <c r="T133" s="1" t="s">
        <v>206</v>
      </c>
      <c r="U133" s="1" t="s">
        <v>206</v>
      </c>
      <c r="V133" s="1" t="s">
        <v>206</v>
      </c>
      <c r="W133" s="1" t="s">
        <v>206</v>
      </c>
      <c r="X133" s="1" t="s">
        <v>206</v>
      </c>
      <c r="Y133" s="1" t="s">
        <v>206</v>
      </c>
      <c r="Z133" s="1" t="s">
        <v>206</v>
      </c>
      <c r="AA133" s="1" t="s">
        <v>206</v>
      </c>
      <c r="AB133" s="1" t="s">
        <v>206</v>
      </c>
      <c r="AJ133">
        <f t="shared" si="38"/>
        <v>27</v>
      </c>
    </row>
    <row r="134" spans="1:36" x14ac:dyDescent="0.2">
      <c r="B134" s="4">
        <v>1999</v>
      </c>
      <c r="C134" s="4">
        <v>2000</v>
      </c>
      <c r="D134" s="4">
        <v>2001</v>
      </c>
      <c r="E134" s="4">
        <v>2002</v>
      </c>
      <c r="F134" s="4">
        <v>2003</v>
      </c>
      <c r="G134" s="4">
        <v>2004</v>
      </c>
      <c r="H134" s="4">
        <v>2005</v>
      </c>
      <c r="I134" s="4">
        <v>2006</v>
      </c>
      <c r="J134" s="4">
        <v>2007</v>
      </c>
      <c r="K134" s="4">
        <v>2008</v>
      </c>
      <c r="L134" s="4">
        <v>2009</v>
      </c>
      <c r="M134" s="4">
        <v>2010</v>
      </c>
      <c r="N134" s="4">
        <v>2011</v>
      </c>
      <c r="O134" s="4">
        <v>2012</v>
      </c>
      <c r="P134" s="4">
        <v>2013</v>
      </c>
      <c r="Q134" s="4">
        <v>2014</v>
      </c>
      <c r="R134" s="4">
        <v>2015</v>
      </c>
      <c r="S134" s="4">
        <v>2016</v>
      </c>
      <c r="T134" s="4">
        <v>2017</v>
      </c>
      <c r="U134" s="4">
        <v>2018</v>
      </c>
      <c r="V134" s="4">
        <v>2019</v>
      </c>
      <c r="W134" s="4">
        <v>2020</v>
      </c>
      <c r="X134" s="4">
        <v>2021</v>
      </c>
      <c r="Y134" s="4">
        <v>2022</v>
      </c>
      <c r="Z134" s="4">
        <v>2023</v>
      </c>
      <c r="AA134" s="4">
        <v>2024</v>
      </c>
      <c r="AB134" s="4">
        <v>2025</v>
      </c>
      <c r="AE134" t="s">
        <v>73</v>
      </c>
      <c r="AF134" s="4" t="s">
        <v>74</v>
      </c>
      <c r="AG134" s="4" t="s">
        <v>77</v>
      </c>
      <c r="AH134" t="s">
        <v>78</v>
      </c>
      <c r="AJ134">
        <f t="shared" si="38"/>
        <v>27</v>
      </c>
    </row>
    <row r="135" spans="1:36" x14ac:dyDescent="0.2">
      <c r="A135" s="104" t="s">
        <v>1</v>
      </c>
      <c r="B135" s="6"/>
      <c r="C135" s="6"/>
      <c r="D135" s="6"/>
      <c r="E135" s="6"/>
      <c r="F135" s="6"/>
      <c r="G135" s="6"/>
      <c r="H135" s="6"/>
      <c r="I135" s="6"/>
      <c r="J135" s="6"/>
      <c r="K135" s="44"/>
      <c r="L135" s="44"/>
      <c r="M135" s="44"/>
      <c r="N135" s="44"/>
      <c r="O135" s="44"/>
      <c r="P135" s="44"/>
      <c r="Q135" s="6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D135" s="104" t="s">
        <v>1</v>
      </c>
      <c r="AE135" s="9">
        <f ca="1">AnzahlBackgroundColor(B135:AB135)</f>
        <v>0</v>
      </c>
      <c r="AF135" s="16">
        <f ca="1">AJ135-AnzahlBackgroundColor(B135:AB135)</f>
        <v>0</v>
      </c>
      <c r="AG135" t="e">
        <f ca="1">AE135/AF135*100</f>
        <v>#DIV/0!</v>
      </c>
      <c r="AH135">
        <f ca="1">AE135*0.01</f>
        <v>0</v>
      </c>
      <c r="AJ135">
        <f t="shared" si="38"/>
        <v>27</v>
      </c>
    </row>
    <row r="136" spans="1:36" x14ac:dyDescent="0.2">
      <c r="A136" s="104" t="s">
        <v>2</v>
      </c>
      <c r="B136" s="6"/>
      <c r="C136" s="6"/>
      <c r="D136" s="6"/>
      <c r="E136" s="6"/>
      <c r="F136" s="6"/>
      <c r="G136" s="6"/>
      <c r="H136" s="6"/>
      <c r="I136" s="6"/>
      <c r="J136" s="6"/>
      <c r="K136" s="44"/>
      <c r="L136" s="44"/>
      <c r="M136" s="44"/>
      <c r="N136" s="44"/>
      <c r="O136" s="44"/>
      <c r="P136" s="44"/>
      <c r="Q136" s="6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D136" s="104" t="s">
        <v>2</v>
      </c>
      <c r="AE136" s="9">
        <f ca="1">AnzahlBackgroundColor(B136:AB136)</f>
        <v>0</v>
      </c>
      <c r="AF136" s="16">
        <f t="shared" ref="AF136:AF142" ca="1" si="39">AJ136-AnzahlBackgroundColor(B136:AB136)</f>
        <v>0</v>
      </c>
      <c r="AG136" t="e">
        <f t="shared" ref="AG136:AG141" ca="1" si="40">AE136/AF136*100</f>
        <v>#DIV/0!</v>
      </c>
      <c r="AH136">
        <f ca="1">AE136*0.02</f>
        <v>0</v>
      </c>
      <c r="AJ136">
        <f t="shared" si="38"/>
        <v>27</v>
      </c>
    </row>
    <row r="137" spans="1:36" x14ac:dyDescent="0.2">
      <c r="A137" s="104" t="s">
        <v>3</v>
      </c>
      <c r="B137" s="6"/>
      <c r="C137" s="6"/>
      <c r="D137" s="6"/>
      <c r="E137" s="6"/>
      <c r="F137" s="6"/>
      <c r="G137" s="6"/>
      <c r="H137" s="6"/>
      <c r="I137" s="6"/>
      <c r="J137" s="6"/>
      <c r="K137" s="44"/>
      <c r="L137" s="44"/>
      <c r="M137" s="44"/>
      <c r="N137" s="44"/>
      <c r="O137" s="44"/>
      <c r="P137" s="44"/>
      <c r="Q137" s="6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D137" s="104" t="s">
        <v>3</v>
      </c>
      <c r="AE137" s="9">
        <f ca="1">AnzahlBackgroundColor(B137:AB137)</f>
        <v>0</v>
      </c>
      <c r="AF137" s="16">
        <f t="shared" ca="1" si="39"/>
        <v>0</v>
      </c>
      <c r="AG137" t="e">
        <f t="shared" ca="1" si="40"/>
        <v>#DIV/0!</v>
      </c>
      <c r="AH137">
        <f ca="1">AE137*0.05</f>
        <v>0</v>
      </c>
      <c r="AJ137">
        <f t="shared" si="38"/>
        <v>27</v>
      </c>
    </row>
    <row r="138" spans="1:36" x14ac:dyDescent="0.2">
      <c r="A138" s="104" t="s">
        <v>4</v>
      </c>
      <c r="B138" s="6"/>
      <c r="C138" s="6"/>
      <c r="D138" s="6"/>
      <c r="E138" s="6"/>
      <c r="F138" s="6"/>
      <c r="G138" s="6"/>
      <c r="H138" s="6"/>
      <c r="I138" s="6"/>
      <c r="J138" s="6"/>
      <c r="K138" s="44"/>
      <c r="L138" s="44"/>
      <c r="M138" s="44"/>
      <c r="N138" s="44"/>
      <c r="O138" s="44"/>
      <c r="P138" s="44"/>
      <c r="Q138" s="6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D138" s="104" t="s">
        <v>4</v>
      </c>
      <c r="AE138" s="9">
        <f ca="1">AnzahlBackgroundColor(B138:AB138)</f>
        <v>0</v>
      </c>
      <c r="AF138" s="16">
        <f t="shared" ca="1" si="39"/>
        <v>0</v>
      </c>
      <c r="AG138" t="e">
        <f t="shared" ca="1" si="40"/>
        <v>#DIV/0!</v>
      </c>
      <c r="AH138">
        <f ca="1">AE138*0.1</f>
        <v>0</v>
      </c>
      <c r="AJ138">
        <f t="shared" si="38"/>
        <v>27</v>
      </c>
    </row>
    <row r="139" spans="1:36" x14ac:dyDescent="0.2">
      <c r="A139" s="104" t="s">
        <v>5</v>
      </c>
      <c r="B139" s="6"/>
      <c r="C139" s="6"/>
      <c r="D139" s="6"/>
      <c r="E139" s="6"/>
      <c r="F139" s="6"/>
      <c r="G139" s="6"/>
      <c r="H139" s="6"/>
      <c r="I139" s="6"/>
      <c r="J139" s="6"/>
      <c r="K139" s="44"/>
      <c r="L139" s="44"/>
      <c r="M139" s="44"/>
      <c r="N139" s="44"/>
      <c r="O139" s="44"/>
      <c r="P139" s="44"/>
      <c r="Q139" s="6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D139" s="104" t="s">
        <v>5</v>
      </c>
      <c r="AE139" s="9">
        <f ca="1">AnzahlBackgroundColor(B139:AB139)</f>
        <v>0</v>
      </c>
      <c r="AF139" s="16">
        <f t="shared" ca="1" si="39"/>
        <v>0</v>
      </c>
      <c r="AG139" t="e">
        <f t="shared" ca="1" si="40"/>
        <v>#DIV/0!</v>
      </c>
      <c r="AH139">
        <f ca="1">AE139*0.2</f>
        <v>0</v>
      </c>
      <c r="AJ139">
        <f t="shared" si="38"/>
        <v>27</v>
      </c>
    </row>
    <row r="140" spans="1:36" x14ac:dyDescent="0.2">
      <c r="A140" s="104" t="s">
        <v>6</v>
      </c>
      <c r="B140" s="6"/>
      <c r="C140" s="6"/>
      <c r="D140" s="6"/>
      <c r="E140" s="6"/>
      <c r="F140" s="6"/>
      <c r="G140" s="6"/>
      <c r="H140" s="6"/>
      <c r="I140" s="6"/>
      <c r="J140" s="6"/>
      <c r="K140" s="44"/>
      <c r="L140" s="44"/>
      <c r="M140" s="44"/>
      <c r="N140" s="44"/>
      <c r="O140" s="44"/>
      <c r="P140" s="44"/>
      <c r="Q140" s="6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D140" s="104" t="s">
        <v>6</v>
      </c>
      <c r="AE140" s="9">
        <f ca="1">AnzahlBackgroundColor(B140:AB140)</f>
        <v>0</v>
      </c>
      <c r="AF140" s="16">
        <f t="shared" ca="1" si="39"/>
        <v>0</v>
      </c>
      <c r="AG140" t="e">
        <f t="shared" ca="1" si="40"/>
        <v>#DIV/0!</v>
      </c>
      <c r="AH140">
        <f ca="1">AE140*0.5</f>
        <v>0</v>
      </c>
      <c r="AJ140">
        <f t="shared" si="38"/>
        <v>27</v>
      </c>
    </row>
    <row r="141" spans="1:36" x14ac:dyDescent="0.2">
      <c r="A141" s="104" t="s">
        <v>7</v>
      </c>
      <c r="B141" s="6"/>
      <c r="C141" s="6"/>
      <c r="D141" s="6"/>
      <c r="E141" s="6"/>
      <c r="F141" s="6"/>
      <c r="G141" s="6"/>
      <c r="H141" s="6"/>
      <c r="I141" s="6"/>
      <c r="J141" s="6"/>
      <c r="K141" s="44"/>
      <c r="L141" s="44"/>
      <c r="M141" s="44"/>
      <c r="N141" s="44"/>
      <c r="O141" s="44"/>
      <c r="P141" s="44"/>
      <c r="Q141" s="6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D141" s="104" t="s">
        <v>7</v>
      </c>
      <c r="AE141" s="9">
        <f ca="1">AnzahlBackgroundColor(B141:AB141)</f>
        <v>0</v>
      </c>
      <c r="AF141" s="16">
        <f t="shared" ca="1" si="39"/>
        <v>0</v>
      </c>
      <c r="AG141" t="e">
        <f t="shared" ca="1" si="40"/>
        <v>#DIV/0!</v>
      </c>
      <c r="AH141">
        <f ca="1">AE141*1</f>
        <v>0</v>
      </c>
      <c r="AJ141">
        <f t="shared" si="38"/>
        <v>27</v>
      </c>
    </row>
    <row r="142" spans="1:36" x14ac:dyDescent="0.2">
      <c r="A142" s="104" t="s">
        <v>8</v>
      </c>
      <c r="B142" s="6"/>
      <c r="C142" s="6"/>
      <c r="D142" s="6"/>
      <c r="E142" s="6"/>
      <c r="F142" s="6"/>
      <c r="G142" s="6"/>
      <c r="H142" s="6"/>
      <c r="I142" s="6"/>
      <c r="J142" s="6"/>
      <c r="K142" s="44"/>
      <c r="L142" s="44"/>
      <c r="M142" s="44"/>
      <c r="N142" s="44"/>
      <c r="O142" s="44"/>
      <c r="P142" s="44"/>
      <c r="Q142" s="6"/>
      <c r="R142" s="44"/>
      <c r="S142" s="44"/>
      <c r="T142" s="44"/>
      <c r="U142" s="44"/>
      <c r="V142" s="44"/>
      <c r="W142" s="44"/>
      <c r="X142" s="44"/>
      <c r="Y142" s="42">
        <v>1000000</v>
      </c>
      <c r="Z142" s="44"/>
      <c r="AA142" s="44"/>
      <c r="AB142" s="44"/>
      <c r="AD142" s="104" t="s">
        <v>8</v>
      </c>
      <c r="AE142" s="9">
        <f ca="1">AnzahlBackgroundColor(B142:AB142)</f>
        <v>1</v>
      </c>
      <c r="AF142" s="16">
        <f t="shared" ca="1" si="39"/>
        <v>1</v>
      </c>
      <c r="AG142">
        <f ca="1">AE142/AF142*100</f>
        <v>100</v>
      </c>
      <c r="AH142">
        <f ca="1">AE142*2</f>
        <v>2</v>
      </c>
      <c r="AJ142">
        <f t="shared" si="38"/>
        <v>27</v>
      </c>
    </row>
    <row r="143" spans="1:36" x14ac:dyDescent="0.2">
      <c r="K143" s="122" t="s">
        <v>117</v>
      </c>
      <c r="AD143" s="104" t="s">
        <v>75</v>
      </c>
      <c r="AE143" s="19">
        <f ca="1" xml:space="preserve"> AE135+AE136+AE137+AE138+AE139+AE140+AE141+AE142</f>
        <v>1</v>
      </c>
      <c r="AF143" s="19">
        <f ca="1" xml:space="preserve"> AF135+AF136+AF137+AF138+AF139+AF140+AF141+AF142</f>
        <v>1</v>
      </c>
      <c r="AG143" s="19">
        <f t="shared" ref="AG143" ca="1" si="41">AE143/AF143*100</f>
        <v>100</v>
      </c>
      <c r="AH143" s="19">
        <f ca="1" xml:space="preserve"> AH135+AH136+AH137+AH138+AH139+AH140+AH141+AH142</f>
        <v>2</v>
      </c>
      <c r="AJ143">
        <f t="shared" si="38"/>
        <v>27</v>
      </c>
    </row>
    <row r="144" spans="1:36" x14ac:dyDescent="0.2">
      <c r="B144" s="1" t="s">
        <v>52</v>
      </c>
      <c r="C144" s="1" t="s">
        <v>52</v>
      </c>
      <c r="D144" s="1" t="s">
        <v>52</v>
      </c>
      <c r="E144" s="1" t="s">
        <v>52</v>
      </c>
      <c r="F144" s="1" t="s">
        <v>52</v>
      </c>
      <c r="G144" s="1" t="s">
        <v>52</v>
      </c>
      <c r="H144" s="1" t="s">
        <v>52</v>
      </c>
      <c r="I144" s="1" t="s">
        <v>52</v>
      </c>
      <c r="J144" s="1" t="s">
        <v>52</v>
      </c>
      <c r="K144" s="1" t="s">
        <v>52</v>
      </c>
      <c r="L144" s="1" t="s">
        <v>52</v>
      </c>
      <c r="M144" s="1" t="s">
        <v>52</v>
      </c>
      <c r="N144" s="1" t="s">
        <v>52</v>
      </c>
      <c r="O144" s="1" t="s">
        <v>52</v>
      </c>
      <c r="P144" s="1" t="s">
        <v>52</v>
      </c>
      <c r="Q144" s="1" t="s">
        <v>52</v>
      </c>
      <c r="R144" s="1" t="s">
        <v>52</v>
      </c>
      <c r="S144" s="1" t="s">
        <v>52</v>
      </c>
      <c r="T144" s="1" t="s">
        <v>52</v>
      </c>
      <c r="U144" s="1" t="s">
        <v>52</v>
      </c>
      <c r="V144" s="1" t="s">
        <v>52</v>
      </c>
      <c r="W144" s="1" t="s">
        <v>52</v>
      </c>
      <c r="X144" s="1" t="s">
        <v>52</v>
      </c>
      <c r="Y144" s="1" t="s">
        <v>52</v>
      </c>
      <c r="Z144" s="1" t="s">
        <v>52</v>
      </c>
      <c r="AA144" s="1" t="s">
        <v>52</v>
      </c>
      <c r="AB144" s="1" t="s">
        <v>52</v>
      </c>
      <c r="AJ144">
        <f t="shared" si="38"/>
        <v>27</v>
      </c>
    </row>
    <row r="145" spans="1:36" x14ac:dyDescent="0.2">
      <c r="B145" s="4">
        <v>1999</v>
      </c>
      <c r="C145" s="4">
        <v>2000</v>
      </c>
      <c r="D145" s="4">
        <v>2001</v>
      </c>
      <c r="E145" s="4">
        <v>2002</v>
      </c>
      <c r="F145" s="4">
        <v>2003</v>
      </c>
      <c r="G145" s="4">
        <v>2004</v>
      </c>
      <c r="H145" s="4">
        <v>2005</v>
      </c>
      <c r="I145" s="4">
        <v>2006</v>
      </c>
      <c r="J145" s="4">
        <v>2007</v>
      </c>
      <c r="K145" s="4">
        <v>2008</v>
      </c>
      <c r="L145" s="4">
        <v>2009</v>
      </c>
      <c r="M145" s="4">
        <v>2010</v>
      </c>
      <c r="N145" s="4">
        <v>2011</v>
      </c>
      <c r="O145" s="4">
        <v>2012</v>
      </c>
      <c r="P145" s="4">
        <v>2013</v>
      </c>
      <c r="Q145" s="4">
        <v>2014</v>
      </c>
      <c r="R145" s="4">
        <v>2015</v>
      </c>
      <c r="S145" s="4">
        <v>2016</v>
      </c>
      <c r="T145" s="4">
        <v>2017</v>
      </c>
      <c r="U145" s="4">
        <v>2018</v>
      </c>
      <c r="V145" s="4">
        <v>2019</v>
      </c>
      <c r="W145" s="4">
        <v>2020</v>
      </c>
      <c r="X145" s="4">
        <v>2021</v>
      </c>
      <c r="Y145" s="4">
        <v>2022</v>
      </c>
      <c r="Z145" s="4">
        <v>2023</v>
      </c>
      <c r="AA145" s="4">
        <v>2024</v>
      </c>
      <c r="AB145" s="4">
        <v>2025</v>
      </c>
      <c r="AE145" t="s">
        <v>73</v>
      </c>
      <c r="AF145" s="4" t="s">
        <v>74</v>
      </c>
      <c r="AG145" s="4" t="s">
        <v>77</v>
      </c>
      <c r="AH145" t="s">
        <v>78</v>
      </c>
      <c r="AJ145">
        <f t="shared" si="38"/>
        <v>27</v>
      </c>
    </row>
    <row r="146" spans="1:36" ht="16" thickBot="1" x14ac:dyDescent="0.25">
      <c r="A146" s="104" t="s">
        <v>1</v>
      </c>
      <c r="B146" s="42">
        <v>47800000</v>
      </c>
      <c r="C146" s="42">
        <v>276800000</v>
      </c>
      <c r="D146" s="42">
        <v>179300000</v>
      </c>
      <c r="E146" s="44">
        <v>800000</v>
      </c>
      <c r="F146" s="42">
        <v>58100000</v>
      </c>
      <c r="G146" s="42">
        <v>113900000</v>
      </c>
      <c r="H146" s="44">
        <v>400000</v>
      </c>
      <c r="I146" s="44">
        <v>200000</v>
      </c>
      <c r="J146" s="44">
        <v>200000</v>
      </c>
      <c r="K146" s="44">
        <v>200000</v>
      </c>
      <c r="L146" s="44">
        <v>200000</v>
      </c>
      <c r="M146" s="44">
        <v>200000</v>
      </c>
      <c r="N146" s="44">
        <v>330000</v>
      </c>
      <c r="O146" s="6"/>
      <c r="P146" s="212">
        <v>35200000</v>
      </c>
      <c r="Q146" s="6"/>
      <c r="R146" s="209"/>
      <c r="S146" s="44">
        <v>400000</v>
      </c>
      <c r="T146" s="44">
        <v>100000</v>
      </c>
      <c r="U146" s="214">
        <v>46000</v>
      </c>
      <c r="V146" s="44">
        <v>43750</v>
      </c>
      <c r="W146" s="44"/>
      <c r="X146" s="44"/>
      <c r="Y146" s="44"/>
      <c r="Z146" s="44"/>
      <c r="AA146" s="44"/>
      <c r="AB146" s="44"/>
      <c r="AD146" s="104" t="s">
        <v>1</v>
      </c>
      <c r="AE146" s="9">
        <f ca="1">AnzahlBackgroundColor(B146:AB146)</f>
        <v>5</v>
      </c>
      <c r="AF146" s="16">
        <f ca="1">AJ146-AnzahlBackgroundColor(B146:AB146)</f>
        <v>6</v>
      </c>
      <c r="AG146">
        <f ca="1">AE146/AF146*100</f>
        <v>83.333333333333343</v>
      </c>
      <c r="AH146">
        <f ca="1">AE146*0.01</f>
        <v>0.05</v>
      </c>
      <c r="AJ146">
        <f t="shared" si="38"/>
        <v>27</v>
      </c>
    </row>
    <row r="147" spans="1:36" ht="16" thickBot="1" x14ac:dyDescent="0.25">
      <c r="A147" s="104" t="s">
        <v>2</v>
      </c>
      <c r="B147" s="42">
        <v>109000000</v>
      </c>
      <c r="C147" s="42">
        <v>122000000</v>
      </c>
      <c r="D147" s="43">
        <v>145800000</v>
      </c>
      <c r="E147" s="43">
        <v>53100000</v>
      </c>
      <c r="F147" s="42">
        <v>151200000</v>
      </c>
      <c r="G147" s="42">
        <v>115700000</v>
      </c>
      <c r="H147" s="44">
        <v>400000</v>
      </c>
      <c r="I147" s="44">
        <v>200000</v>
      </c>
      <c r="J147" s="44">
        <v>200000</v>
      </c>
      <c r="K147" s="44">
        <v>200000</v>
      </c>
      <c r="L147" s="44">
        <v>200000</v>
      </c>
      <c r="M147" s="44">
        <v>200000</v>
      </c>
      <c r="N147" s="44">
        <v>330000</v>
      </c>
      <c r="O147" s="6"/>
      <c r="P147" s="6"/>
      <c r="Q147" s="6"/>
      <c r="R147" s="209"/>
      <c r="S147" s="44">
        <v>400000</v>
      </c>
      <c r="T147" s="213">
        <v>100000</v>
      </c>
      <c r="U147" s="219">
        <v>46000</v>
      </c>
      <c r="V147" s="44">
        <v>43750</v>
      </c>
      <c r="W147" s="44"/>
      <c r="X147" s="44"/>
      <c r="Y147" s="44"/>
      <c r="Z147" s="44"/>
      <c r="AA147" s="44"/>
      <c r="AB147" s="44"/>
      <c r="AD147" s="104" t="s">
        <v>2</v>
      </c>
      <c r="AE147" s="9">
        <f ca="1">AnzahlBackgroundColor(B147:AB147)</f>
        <v>5</v>
      </c>
      <c r="AF147" s="16">
        <f t="shared" ref="AF147:AF153" ca="1" si="42">AJ147-AnzahlBackgroundColor(B147:AB147)</f>
        <v>7</v>
      </c>
      <c r="AG147">
        <f t="shared" ref="AG147:AG152" ca="1" si="43">AE147/AF147*100</f>
        <v>71.428571428571431</v>
      </c>
      <c r="AH147">
        <f ca="1">AE147*0.02</f>
        <v>0.1</v>
      </c>
      <c r="AJ147">
        <f t="shared" si="38"/>
        <v>27</v>
      </c>
    </row>
    <row r="148" spans="1:36" x14ac:dyDescent="0.2">
      <c r="A148" s="104" t="s">
        <v>3</v>
      </c>
      <c r="B148" s="42">
        <v>213000000</v>
      </c>
      <c r="C148" s="42">
        <v>184200000</v>
      </c>
      <c r="D148" s="42">
        <v>205900000</v>
      </c>
      <c r="E148" s="44">
        <v>900000</v>
      </c>
      <c r="F148" s="43">
        <v>1400000</v>
      </c>
      <c r="G148" s="44">
        <v>400000</v>
      </c>
      <c r="H148" s="42">
        <v>80400000</v>
      </c>
      <c r="I148" s="42">
        <v>60100000</v>
      </c>
      <c r="J148" s="42">
        <v>78600000</v>
      </c>
      <c r="K148" s="42">
        <v>74700000</v>
      </c>
      <c r="L148" s="42">
        <v>40200000</v>
      </c>
      <c r="M148" s="42">
        <v>40100000</v>
      </c>
      <c r="N148" s="42">
        <v>21120000</v>
      </c>
      <c r="O148" s="43">
        <v>10500000</v>
      </c>
      <c r="P148" s="42">
        <v>27500000</v>
      </c>
      <c r="Q148" s="42">
        <v>30000000</v>
      </c>
      <c r="R148" s="216">
        <v>55400000</v>
      </c>
      <c r="S148" s="42">
        <v>70400000</v>
      </c>
      <c r="T148" s="43">
        <v>63100000</v>
      </c>
      <c r="U148" s="234">
        <v>60000000</v>
      </c>
      <c r="V148" s="43">
        <v>30000000</v>
      </c>
      <c r="W148" s="42">
        <v>10000000</v>
      </c>
      <c r="X148" s="44"/>
      <c r="Y148" s="44"/>
      <c r="Z148" s="44"/>
      <c r="AA148" s="44"/>
      <c r="AB148" s="44"/>
      <c r="AD148" s="104" t="s">
        <v>3</v>
      </c>
      <c r="AE148" s="9">
        <f ca="1">AnzahlBackgroundColor(B148:AB148)</f>
        <v>16</v>
      </c>
      <c r="AF148" s="16">
        <f t="shared" ca="1" si="42"/>
        <v>20</v>
      </c>
      <c r="AG148">
        <f t="shared" ca="1" si="43"/>
        <v>80</v>
      </c>
      <c r="AH148">
        <f ca="1">AE148*0.05</f>
        <v>0.8</v>
      </c>
      <c r="AJ148">
        <f t="shared" si="38"/>
        <v>27</v>
      </c>
    </row>
    <row r="149" spans="1:36" x14ac:dyDescent="0.2">
      <c r="A149" s="104" t="s">
        <v>4</v>
      </c>
      <c r="B149" s="42">
        <v>149700000</v>
      </c>
      <c r="C149" s="42">
        <v>156700000</v>
      </c>
      <c r="D149" s="42">
        <v>193500000</v>
      </c>
      <c r="E149" s="44">
        <v>800000</v>
      </c>
      <c r="F149" s="43">
        <v>1200000</v>
      </c>
      <c r="G149" s="44">
        <v>400000</v>
      </c>
      <c r="H149" s="44">
        <v>300000</v>
      </c>
      <c r="I149" s="44">
        <v>100000</v>
      </c>
      <c r="J149" s="44">
        <v>200000</v>
      </c>
      <c r="K149" s="44">
        <v>100000</v>
      </c>
      <c r="L149" s="44">
        <v>200000</v>
      </c>
      <c r="M149" s="44">
        <v>100000</v>
      </c>
      <c r="N149" s="44">
        <v>220000</v>
      </c>
      <c r="O149" s="44"/>
      <c r="P149" s="44"/>
      <c r="Q149" s="43">
        <v>5000000</v>
      </c>
      <c r="R149" s="209"/>
      <c r="S149" s="44">
        <v>400000</v>
      </c>
      <c r="T149" s="42">
        <v>20300000</v>
      </c>
      <c r="U149" s="43">
        <v>12500000</v>
      </c>
      <c r="V149" s="43">
        <v>15000000</v>
      </c>
      <c r="W149" s="44"/>
      <c r="X149" s="44"/>
      <c r="Y149" s="44"/>
      <c r="Z149" s="44"/>
      <c r="AA149" s="44"/>
      <c r="AB149" s="44"/>
      <c r="AD149" s="104" t="s">
        <v>4</v>
      </c>
      <c r="AE149" s="9">
        <f ca="1">AnzahlBackgroundColor(B149:AB149)</f>
        <v>4</v>
      </c>
      <c r="AF149" s="16">
        <f t="shared" ca="1" si="42"/>
        <v>8</v>
      </c>
      <c r="AG149">
        <f t="shared" ca="1" si="43"/>
        <v>50</v>
      </c>
      <c r="AH149">
        <f ca="1">AE149*0.1</f>
        <v>0.4</v>
      </c>
      <c r="AJ149">
        <f t="shared" si="38"/>
        <v>27</v>
      </c>
    </row>
    <row r="150" spans="1:36" x14ac:dyDescent="0.2">
      <c r="A150" s="104" t="s">
        <v>5</v>
      </c>
      <c r="B150" s="42">
        <v>86500000</v>
      </c>
      <c r="C150" s="42">
        <v>67500000</v>
      </c>
      <c r="D150" s="42">
        <v>97600000</v>
      </c>
      <c r="E150" s="42">
        <v>51200000</v>
      </c>
      <c r="F150" s="42">
        <v>58200000</v>
      </c>
      <c r="G150" s="42">
        <v>20500000</v>
      </c>
      <c r="H150" s="44">
        <v>300000</v>
      </c>
      <c r="I150" s="44">
        <v>100000</v>
      </c>
      <c r="J150" s="44">
        <v>200000</v>
      </c>
      <c r="K150" s="44">
        <v>100000</v>
      </c>
      <c r="L150" s="44">
        <v>200000</v>
      </c>
      <c r="M150" s="44">
        <v>100000</v>
      </c>
      <c r="N150" s="44">
        <v>220000</v>
      </c>
      <c r="O150" s="44"/>
      <c r="P150" s="44"/>
      <c r="Q150" s="43">
        <v>5000000</v>
      </c>
      <c r="R150" s="209"/>
      <c r="S150" s="42">
        <v>30400000</v>
      </c>
      <c r="T150" s="44">
        <v>100000</v>
      </c>
      <c r="U150" s="43">
        <v>20000000</v>
      </c>
      <c r="V150" s="44">
        <v>43750</v>
      </c>
      <c r="W150" s="44"/>
      <c r="X150" s="44"/>
      <c r="Y150" s="44"/>
      <c r="Z150" s="44"/>
      <c r="AA150" s="44"/>
      <c r="AB150" s="44"/>
      <c r="AD150" s="104" t="s">
        <v>5</v>
      </c>
      <c r="AE150" s="9">
        <f ca="1">AnzahlBackgroundColor(B150:AB150)</f>
        <v>7</v>
      </c>
      <c r="AF150" s="16">
        <f t="shared" ca="1" si="42"/>
        <v>9</v>
      </c>
      <c r="AG150">
        <f t="shared" ca="1" si="43"/>
        <v>77.777777777777786</v>
      </c>
      <c r="AH150">
        <f ca="1">AE150*0.2</f>
        <v>1.4000000000000001</v>
      </c>
      <c r="AJ150">
        <f t="shared" si="38"/>
        <v>27</v>
      </c>
    </row>
    <row r="151" spans="1:36" x14ac:dyDescent="0.2">
      <c r="A151" s="104" t="s">
        <v>6</v>
      </c>
      <c r="B151" s="42">
        <v>99600000</v>
      </c>
      <c r="C151" s="42">
        <v>87000000</v>
      </c>
      <c r="D151" s="42">
        <v>94500000</v>
      </c>
      <c r="E151" s="42">
        <v>80900000</v>
      </c>
      <c r="F151" s="43">
        <v>1200000</v>
      </c>
      <c r="G151" s="44">
        <v>300000</v>
      </c>
      <c r="H151" s="44">
        <v>300000</v>
      </c>
      <c r="I151" s="44">
        <v>100000</v>
      </c>
      <c r="J151" s="44">
        <v>200000</v>
      </c>
      <c r="K151" s="44">
        <v>100000</v>
      </c>
      <c r="L151" s="44">
        <v>200000</v>
      </c>
      <c r="M151" s="44">
        <v>100000</v>
      </c>
      <c r="N151" s="44">
        <v>220000</v>
      </c>
      <c r="O151" s="44"/>
      <c r="P151" s="44"/>
      <c r="Q151" s="43">
        <v>5000000</v>
      </c>
      <c r="R151" s="209"/>
      <c r="S151" s="44">
        <v>400000</v>
      </c>
      <c r="T151" s="44">
        <v>100000</v>
      </c>
      <c r="U151" s="44">
        <v>46000</v>
      </c>
      <c r="V151" s="44">
        <v>43750</v>
      </c>
      <c r="W151" s="44"/>
      <c r="X151" s="44"/>
      <c r="Y151" s="44"/>
      <c r="Z151" s="44"/>
      <c r="AA151" s="44"/>
      <c r="AB151" s="44"/>
      <c r="AD151" s="104" t="s">
        <v>6</v>
      </c>
      <c r="AE151" s="9">
        <f ca="1">AnzahlBackgroundColor(B151:AB151)</f>
        <v>4</v>
      </c>
      <c r="AF151" s="16">
        <f t="shared" ca="1" si="42"/>
        <v>6</v>
      </c>
      <c r="AG151">
        <f t="shared" ca="1" si="43"/>
        <v>66.666666666666657</v>
      </c>
      <c r="AH151">
        <f ca="1">AE151*0.5</f>
        <v>2</v>
      </c>
      <c r="AJ151">
        <f t="shared" si="38"/>
        <v>27</v>
      </c>
    </row>
    <row r="152" spans="1:36" x14ac:dyDescent="0.2">
      <c r="A152" s="104" t="s">
        <v>7</v>
      </c>
      <c r="B152" s="42">
        <v>63500000</v>
      </c>
      <c r="C152" s="42">
        <v>62800000</v>
      </c>
      <c r="D152" s="42">
        <v>67900000</v>
      </c>
      <c r="E152" s="43">
        <v>20100000</v>
      </c>
      <c r="F152" s="43">
        <v>1400000</v>
      </c>
      <c r="G152" s="44">
        <v>300000</v>
      </c>
      <c r="H152" s="44">
        <v>200000</v>
      </c>
      <c r="I152" s="44">
        <v>100000</v>
      </c>
      <c r="J152" s="44">
        <v>100000</v>
      </c>
      <c r="K152" s="44">
        <v>100000</v>
      </c>
      <c r="L152" s="44">
        <v>100000</v>
      </c>
      <c r="M152" s="44">
        <v>100000</v>
      </c>
      <c r="N152" s="44">
        <v>220000</v>
      </c>
      <c r="O152" s="44"/>
      <c r="P152" s="44"/>
      <c r="Q152" s="42">
        <v>5000000</v>
      </c>
      <c r="R152" s="209"/>
      <c r="S152" s="44">
        <v>300000</v>
      </c>
      <c r="T152" s="44">
        <v>100000</v>
      </c>
      <c r="U152" s="44">
        <v>46000</v>
      </c>
      <c r="V152" s="44">
        <v>43750</v>
      </c>
      <c r="W152" s="44"/>
      <c r="X152" s="44"/>
      <c r="Y152" s="44"/>
      <c r="Z152" s="44"/>
      <c r="AA152" s="44"/>
      <c r="AB152" s="44"/>
      <c r="AD152" s="104" t="s">
        <v>7</v>
      </c>
      <c r="AE152" s="9">
        <f ca="1">AnzahlBackgroundColor(B152:AB152)</f>
        <v>4</v>
      </c>
      <c r="AF152" s="16">
        <f t="shared" ca="1" si="42"/>
        <v>6</v>
      </c>
      <c r="AG152">
        <f t="shared" ca="1" si="43"/>
        <v>66.666666666666657</v>
      </c>
      <c r="AH152">
        <f ca="1">AE152*1</f>
        <v>4</v>
      </c>
      <c r="AJ152">
        <f t="shared" si="38"/>
        <v>27</v>
      </c>
    </row>
    <row r="153" spans="1:36" x14ac:dyDescent="0.2">
      <c r="A153" s="104" t="s">
        <v>8</v>
      </c>
      <c r="B153" s="42">
        <v>9900000</v>
      </c>
      <c r="C153" s="42">
        <v>24400000</v>
      </c>
      <c r="D153" s="42">
        <v>140500000</v>
      </c>
      <c r="E153" s="42">
        <v>37200000</v>
      </c>
      <c r="F153" s="43">
        <v>1200000</v>
      </c>
      <c r="G153" s="44">
        <v>300000</v>
      </c>
      <c r="H153" s="44">
        <v>200000</v>
      </c>
      <c r="I153" s="44">
        <v>100000</v>
      </c>
      <c r="J153" s="44">
        <v>100000</v>
      </c>
      <c r="K153" s="44">
        <v>100000</v>
      </c>
      <c r="L153" s="44">
        <v>100000</v>
      </c>
      <c r="M153" s="44">
        <v>100000</v>
      </c>
      <c r="N153" s="44">
        <v>220000</v>
      </c>
      <c r="O153" s="44"/>
      <c r="P153" s="44"/>
      <c r="Q153" s="42">
        <v>9000000</v>
      </c>
      <c r="R153" s="209"/>
      <c r="S153" s="44">
        <v>300000</v>
      </c>
      <c r="T153" s="44">
        <v>100000</v>
      </c>
      <c r="U153" s="44">
        <v>54500</v>
      </c>
      <c r="V153" s="44">
        <v>43750</v>
      </c>
      <c r="W153" s="44"/>
      <c r="X153" s="44"/>
      <c r="Y153" s="44"/>
      <c r="Z153" s="44"/>
      <c r="AA153" s="44"/>
      <c r="AB153" s="44"/>
      <c r="AD153" s="104" t="s">
        <v>8</v>
      </c>
      <c r="AE153" s="9">
        <f ca="1">AnzahlBackgroundColor(B153:AB153)</f>
        <v>5</v>
      </c>
      <c r="AF153" s="16">
        <f t="shared" ca="1" si="42"/>
        <v>6</v>
      </c>
      <c r="AG153">
        <f ca="1">AE153/AF153*100</f>
        <v>83.333333333333343</v>
      </c>
      <c r="AH153">
        <f ca="1">AE153*2</f>
        <v>10</v>
      </c>
      <c r="AJ153">
        <f t="shared" si="38"/>
        <v>27</v>
      </c>
    </row>
    <row r="154" spans="1:36" x14ac:dyDescent="0.2">
      <c r="B154" s="121" t="s">
        <v>116</v>
      </c>
      <c r="C154" s="122" t="s">
        <v>117</v>
      </c>
      <c r="D154" s="122" t="s">
        <v>117</v>
      </c>
      <c r="R154" t="s">
        <v>164</v>
      </c>
      <c r="AD154" s="104" t="s">
        <v>75</v>
      </c>
      <c r="AE154" s="19">
        <f ca="1" xml:space="preserve"> AE146+AE147+AE148+AE149+AE150+AE151+AE152+AE153</f>
        <v>50</v>
      </c>
      <c r="AF154" s="19">
        <f ca="1" xml:space="preserve"> AF146+AF147+AF148+AF149+AF150+AF151+AF152+AF153</f>
        <v>68</v>
      </c>
      <c r="AG154" s="19">
        <f t="shared" ref="AG154" ca="1" si="44">AE154/AF154*100</f>
        <v>73.529411764705884</v>
      </c>
      <c r="AH154" s="19">
        <f ca="1" xml:space="preserve"> AH146+AH147+AH148+AH149+AH150+AH151+AH152+AH153</f>
        <v>18.75</v>
      </c>
      <c r="AJ154">
        <f t="shared" si="38"/>
        <v>27</v>
      </c>
    </row>
    <row r="155" spans="1:36" x14ac:dyDescent="0.2">
      <c r="B155" s="1" t="s">
        <v>57</v>
      </c>
      <c r="C155" s="1" t="s">
        <v>57</v>
      </c>
      <c r="D155" s="1" t="s">
        <v>57</v>
      </c>
      <c r="E155" s="1" t="s">
        <v>57</v>
      </c>
      <c r="F155" s="1" t="s">
        <v>57</v>
      </c>
      <c r="G155" s="1" t="s">
        <v>57</v>
      </c>
      <c r="H155" s="1" t="s">
        <v>57</v>
      </c>
      <c r="I155" s="1" t="s">
        <v>57</v>
      </c>
      <c r="J155" s="1" t="s">
        <v>57</v>
      </c>
      <c r="K155" s="1" t="s">
        <v>57</v>
      </c>
      <c r="L155" s="1" t="s">
        <v>57</v>
      </c>
      <c r="M155" s="1" t="s">
        <v>57</v>
      </c>
      <c r="N155" s="1" t="s">
        <v>57</v>
      </c>
      <c r="O155" s="1" t="s">
        <v>57</v>
      </c>
      <c r="P155" s="1" t="s">
        <v>57</v>
      </c>
      <c r="Q155" s="1" t="s">
        <v>57</v>
      </c>
      <c r="R155" s="1" t="s">
        <v>57</v>
      </c>
      <c r="S155" s="1" t="s">
        <v>57</v>
      </c>
      <c r="T155" s="1" t="s">
        <v>57</v>
      </c>
      <c r="U155" s="1" t="s">
        <v>57</v>
      </c>
      <c r="V155" s="1" t="s">
        <v>57</v>
      </c>
      <c r="W155" s="1" t="s">
        <v>57</v>
      </c>
      <c r="X155" s="1" t="s">
        <v>57</v>
      </c>
      <c r="Y155" s="1" t="s">
        <v>57</v>
      </c>
      <c r="Z155" s="1" t="s">
        <v>57</v>
      </c>
      <c r="AA155" s="1" t="s">
        <v>57</v>
      </c>
      <c r="AB155" s="1" t="s">
        <v>57</v>
      </c>
      <c r="AJ155">
        <f t="shared" si="38"/>
        <v>27</v>
      </c>
    </row>
    <row r="156" spans="1:36" x14ac:dyDescent="0.2">
      <c r="B156" s="4">
        <v>1999</v>
      </c>
      <c r="C156" s="4">
        <v>2000</v>
      </c>
      <c r="D156" s="4">
        <v>2001</v>
      </c>
      <c r="E156" s="4">
        <v>2002</v>
      </c>
      <c r="F156" s="4">
        <v>2003</v>
      </c>
      <c r="G156" s="4">
        <v>2004</v>
      </c>
      <c r="H156" s="4">
        <v>2005</v>
      </c>
      <c r="I156" s="4">
        <v>2006</v>
      </c>
      <c r="J156" s="4">
        <v>2007</v>
      </c>
      <c r="K156" s="4">
        <v>2008</v>
      </c>
      <c r="L156" s="4">
        <v>2009</v>
      </c>
      <c r="M156" s="4">
        <v>2010</v>
      </c>
      <c r="N156" s="4">
        <v>2011</v>
      </c>
      <c r="O156" s="4">
        <v>2012</v>
      </c>
      <c r="P156" s="4">
        <v>2013</v>
      </c>
      <c r="Q156" s="4">
        <v>2014</v>
      </c>
      <c r="R156" s="4">
        <v>2015</v>
      </c>
      <c r="S156" s="4">
        <v>2016</v>
      </c>
      <c r="T156" s="4">
        <v>2017</v>
      </c>
      <c r="U156" s="4">
        <v>2018</v>
      </c>
      <c r="V156" s="4">
        <v>2019</v>
      </c>
      <c r="W156" s="4">
        <v>2020</v>
      </c>
      <c r="X156" s="4">
        <v>2021</v>
      </c>
      <c r="Y156" s="4">
        <v>2022</v>
      </c>
      <c r="Z156" s="4">
        <v>2023</v>
      </c>
      <c r="AA156" s="4">
        <v>2024</v>
      </c>
      <c r="AB156" s="4">
        <v>2025</v>
      </c>
      <c r="AE156" t="s">
        <v>73</v>
      </c>
      <c r="AF156" s="4" t="s">
        <v>74</v>
      </c>
      <c r="AG156" s="4" t="s">
        <v>77</v>
      </c>
      <c r="AH156" t="s">
        <v>78</v>
      </c>
      <c r="AJ156">
        <f t="shared" si="38"/>
        <v>27</v>
      </c>
    </row>
    <row r="157" spans="1:36" x14ac:dyDescent="0.2">
      <c r="A157" s="104" t="s">
        <v>1</v>
      </c>
      <c r="B157" s="187"/>
      <c r="C157" s="188"/>
      <c r="D157" s="198"/>
      <c r="E157" s="123">
        <v>378400000</v>
      </c>
      <c r="F157" s="42">
        <v>10800000</v>
      </c>
      <c r="G157" s="42">
        <v>115000000</v>
      </c>
      <c r="H157" s="42">
        <v>174700000</v>
      </c>
      <c r="I157" s="42">
        <v>48300000</v>
      </c>
      <c r="J157" s="43">
        <v>111900000</v>
      </c>
      <c r="K157" s="42">
        <v>50900000</v>
      </c>
      <c r="L157" s="43">
        <v>158900000</v>
      </c>
      <c r="M157" s="43">
        <v>168500000</v>
      </c>
      <c r="N157" s="42">
        <v>189600000</v>
      </c>
      <c r="O157" s="43">
        <v>169300000</v>
      </c>
      <c r="P157" s="42">
        <v>179200000</v>
      </c>
      <c r="Q157" s="42">
        <v>185500000</v>
      </c>
      <c r="R157" s="42">
        <v>118000000</v>
      </c>
      <c r="S157" s="44">
        <v>60000</v>
      </c>
      <c r="T157" s="42">
        <v>37760000</v>
      </c>
      <c r="U157" s="42">
        <v>138560000</v>
      </c>
      <c r="V157" s="43">
        <v>130900000</v>
      </c>
      <c r="W157" s="42">
        <v>85500000</v>
      </c>
      <c r="X157" s="42"/>
      <c r="Y157" s="42"/>
      <c r="Z157" s="44"/>
      <c r="AA157" s="44"/>
      <c r="AB157" s="44"/>
      <c r="AD157" s="104" t="s">
        <v>1</v>
      </c>
      <c r="AE157" s="9">
        <f ca="1">AnzahlBackgroundColor(E157:AB157)</f>
        <v>15</v>
      </c>
      <c r="AF157" s="16">
        <f ca="1">AJ157-AnzahlBackgroundColor(B157:AB157)</f>
        <v>20</v>
      </c>
      <c r="AG157">
        <f ca="1">AE157/AF157*100</f>
        <v>75</v>
      </c>
      <c r="AH157">
        <f ca="1">AE157*0.01</f>
        <v>0.15</v>
      </c>
      <c r="AJ157">
        <f t="shared" si="38"/>
        <v>27</v>
      </c>
    </row>
    <row r="158" spans="1:36" x14ac:dyDescent="0.2">
      <c r="A158" s="104" t="s">
        <v>2</v>
      </c>
      <c r="B158" s="191"/>
      <c r="C158" s="186"/>
      <c r="D158" s="199"/>
      <c r="E158" s="42">
        <v>326400000</v>
      </c>
      <c r="F158" s="42">
        <v>118500000</v>
      </c>
      <c r="G158" s="42">
        <v>156400000</v>
      </c>
      <c r="H158" s="42">
        <v>163200000</v>
      </c>
      <c r="I158" s="43">
        <v>39800000</v>
      </c>
      <c r="J158" s="42">
        <v>72200000</v>
      </c>
      <c r="K158" s="42">
        <v>125100000</v>
      </c>
      <c r="L158" s="42">
        <v>120400000</v>
      </c>
      <c r="M158" s="42">
        <v>104200000</v>
      </c>
      <c r="N158" s="42">
        <v>148600000</v>
      </c>
      <c r="O158" s="42">
        <v>78100000</v>
      </c>
      <c r="P158" s="42">
        <v>121500000</v>
      </c>
      <c r="Q158" s="42">
        <v>116100000</v>
      </c>
      <c r="R158" s="42">
        <v>45400000</v>
      </c>
      <c r="S158" s="44">
        <v>60000</v>
      </c>
      <c r="T158" s="42">
        <v>57260000</v>
      </c>
      <c r="U158" s="42">
        <v>85710000</v>
      </c>
      <c r="V158" s="43">
        <v>91200000</v>
      </c>
      <c r="W158" s="43">
        <v>57300000</v>
      </c>
      <c r="X158" s="44"/>
      <c r="Y158" s="44"/>
      <c r="Z158" s="44"/>
      <c r="AA158" s="44"/>
      <c r="AB158" s="44"/>
      <c r="AD158" s="104" t="s">
        <v>2</v>
      </c>
      <c r="AE158" s="9">
        <f ca="1">AnzahlBackgroundColor(E158:AB158)</f>
        <v>15</v>
      </c>
      <c r="AF158" s="16">
        <f t="shared" ref="AF158:AF164" ca="1" si="45">AJ158-AnzahlBackgroundColor(B158:AB158)</f>
        <v>18</v>
      </c>
      <c r="AG158">
        <f t="shared" ref="AG158:AG163" ca="1" si="46">AE158/AF158*100</f>
        <v>83.333333333333343</v>
      </c>
      <c r="AH158">
        <f ca="1">AE158*0.02</f>
        <v>0.3</v>
      </c>
      <c r="AJ158">
        <f t="shared" si="38"/>
        <v>27</v>
      </c>
    </row>
    <row r="159" spans="1:36" x14ac:dyDescent="0.2">
      <c r="A159" s="104" t="s">
        <v>3</v>
      </c>
      <c r="B159" s="191"/>
      <c r="C159" s="186"/>
      <c r="D159" s="199"/>
      <c r="E159" s="42">
        <v>217000000</v>
      </c>
      <c r="F159" s="42">
        <v>108500000</v>
      </c>
      <c r="G159" s="42">
        <v>89300000</v>
      </c>
      <c r="H159" s="43">
        <v>66100000</v>
      </c>
      <c r="I159" s="43">
        <v>5600000</v>
      </c>
      <c r="J159" s="42">
        <v>52700000</v>
      </c>
      <c r="K159" s="42">
        <v>96700000</v>
      </c>
      <c r="L159" s="43">
        <v>5800000</v>
      </c>
      <c r="M159" s="42">
        <v>63700000</v>
      </c>
      <c r="N159" s="42">
        <v>66600000</v>
      </c>
      <c r="O159" s="42">
        <v>353000000</v>
      </c>
      <c r="P159" s="43">
        <v>36100000</v>
      </c>
      <c r="Q159" s="42">
        <v>48000000</v>
      </c>
      <c r="R159" s="42">
        <v>61060000</v>
      </c>
      <c r="S159" s="44">
        <v>60000</v>
      </c>
      <c r="T159" s="42">
        <v>35260000</v>
      </c>
      <c r="U159" s="43">
        <v>22660000</v>
      </c>
      <c r="V159" s="43">
        <v>15000000</v>
      </c>
      <c r="W159" s="43">
        <v>5600000</v>
      </c>
      <c r="X159" s="42"/>
      <c r="Y159" s="42"/>
      <c r="Z159" s="44"/>
      <c r="AA159" s="44"/>
      <c r="AB159" s="44"/>
      <c r="AD159" s="104" t="s">
        <v>3</v>
      </c>
      <c r="AE159" s="9">
        <f ca="1">AnzahlBackgroundColor(E159:AB159)</f>
        <v>13</v>
      </c>
      <c r="AF159" s="16">
        <f t="shared" ca="1" si="45"/>
        <v>20</v>
      </c>
      <c r="AG159">
        <f t="shared" ca="1" si="46"/>
        <v>65</v>
      </c>
      <c r="AH159">
        <f ca="1">AE159*0.05</f>
        <v>0.65</v>
      </c>
      <c r="AJ159">
        <f t="shared" si="38"/>
        <v>27</v>
      </c>
    </row>
    <row r="160" spans="1:36" x14ac:dyDescent="0.2">
      <c r="A160" s="104" t="s">
        <v>4</v>
      </c>
      <c r="B160" s="191"/>
      <c r="C160" s="186"/>
      <c r="D160" s="199"/>
      <c r="E160" s="42">
        <v>441600000</v>
      </c>
      <c r="F160" s="44">
        <v>10000</v>
      </c>
      <c r="G160" s="43">
        <v>5200000</v>
      </c>
      <c r="H160" s="43">
        <v>5200000</v>
      </c>
      <c r="I160" s="42">
        <v>40000000</v>
      </c>
      <c r="J160" s="42">
        <v>81300000</v>
      </c>
      <c r="K160" s="42">
        <v>70200000</v>
      </c>
      <c r="L160" s="42">
        <v>15900000</v>
      </c>
      <c r="M160" s="42">
        <v>42800000</v>
      </c>
      <c r="N160" s="42">
        <v>27600000</v>
      </c>
      <c r="O160" s="123">
        <v>25000000</v>
      </c>
      <c r="P160" s="42">
        <v>30100000</v>
      </c>
      <c r="Q160" s="42">
        <v>27600000</v>
      </c>
      <c r="R160" s="42">
        <v>63160000</v>
      </c>
      <c r="S160" s="43">
        <v>12360000</v>
      </c>
      <c r="T160" s="42">
        <v>39560000</v>
      </c>
      <c r="U160" s="43">
        <v>30260000</v>
      </c>
      <c r="V160" s="42">
        <v>15100000</v>
      </c>
      <c r="W160" s="43">
        <v>12000000</v>
      </c>
      <c r="X160" s="44"/>
      <c r="Y160" s="44"/>
      <c r="Z160" s="44"/>
      <c r="AA160" s="44"/>
      <c r="AB160" s="44"/>
      <c r="AD160" s="104" t="s">
        <v>4</v>
      </c>
      <c r="AE160" s="9">
        <f ca="1">AnzahlBackgroundColor(E160:AB160)</f>
        <v>13</v>
      </c>
      <c r="AF160" s="16">
        <f t="shared" ca="1" si="45"/>
        <v>18</v>
      </c>
      <c r="AG160">
        <f t="shared" ca="1" si="46"/>
        <v>72.222222222222214</v>
      </c>
      <c r="AH160">
        <f ca="1">AE160*0.1</f>
        <v>1.3</v>
      </c>
      <c r="AJ160">
        <f t="shared" si="38"/>
        <v>27</v>
      </c>
    </row>
    <row r="161" spans="1:36" x14ac:dyDescent="0.2">
      <c r="A161" s="104" t="s">
        <v>5</v>
      </c>
      <c r="B161" s="191"/>
      <c r="C161" s="186"/>
      <c r="D161" s="199"/>
      <c r="E161" s="42">
        <v>203400000</v>
      </c>
      <c r="F161" s="42">
        <v>50900000</v>
      </c>
      <c r="G161" s="42">
        <v>54800000</v>
      </c>
      <c r="H161" s="43">
        <v>4100000</v>
      </c>
      <c r="I161" s="43">
        <v>8200000</v>
      </c>
      <c r="J161" s="42">
        <v>45000000</v>
      </c>
      <c r="K161" s="42">
        <v>45300000</v>
      </c>
      <c r="L161" s="42">
        <v>49800000</v>
      </c>
      <c r="M161" s="42">
        <v>4200000</v>
      </c>
      <c r="N161" s="43">
        <v>21300000</v>
      </c>
      <c r="O161" s="42">
        <v>10800000</v>
      </c>
      <c r="P161" s="42">
        <v>25200000</v>
      </c>
      <c r="Q161" s="42">
        <v>10500000</v>
      </c>
      <c r="R161" s="42">
        <v>9060000</v>
      </c>
      <c r="S161" s="43">
        <v>30060000</v>
      </c>
      <c r="T161" s="42">
        <v>30060000</v>
      </c>
      <c r="U161" s="42">
        <v>20460000</v>
      </c>
      <c r="V161" s="42">
        <v>25600000</v>
      </c>
      <c r="W161" s="43">
        <v>19800000</v>
      </c>
      <c r="X161" s="44"/>
      <c r="Y161" s="42"/>
      <c r="Z161" s="44"/>
      <c r="AA161" s="44"/>
      <c r="AB161" s="44"/>
      <c r="AD161" s="104" t="s">
        <v>5</v>
      </c>
      <c r="AE161" s="9">
        <f ca="1">AnzahlBackgroundColor(E161:AB161)</f>
        <v>15</v>
      </c>
      <c r="AF161" s="16">
        <f t="shared" ca="1" si="45"/>
        <v>20</v>
      </c>
      <c r="AG161">
        <f t="shared" ca="1" si="46"/>
        <v>75</v>
      </c>
      <c r="AH161">
        <f ca="1">AE161*0.2</f>
        <v>3</v>
      </c>
      <c r="AJ161">
        <f t="shared" si="38"/>
        <v>27</v>
      </c>
    </row>
    <row r="162" spans="1:36" x14ac:dyDescent="0.2">
      <c r="A162" s="104" t="s">
        <v>6</v>
      </c>
      <c r="B162" s="191"/>
      <c r="C162" s="186"/>
      <c r="D162" s="199"/>
      <c r="E162" s="42">
        <v>169100000</v>
      </c>
      <c r="F162" s="43">
        <v>9100000</v>
      </c>
      <c r="G162" s="43">
        <v>3100000</v>
      </c>
      <c r="H162" s="43">
        <v>3100000</v>
      </c>
      <c r="I162" s="43">
        <v>3200000</v>
      </c>
      <c r="J162" s="43">
        <v>3000000</v>
      </c>
      <c r="K162" s="42">
        <v>3000000</v>
      </c>
      <c r="L162" s="42">
        <v>14700000</v>
      </c>
      <c r="M162" s="42">
        <v>30000000</v>
      </c>
      <c r="N162" s="43">
        <v>6000000</v>
      </c>
      <c r="O162" s="44" t="s">
        <v>102</v>
      </c>
      <c r="P162" s="6" t="s">
        <v>104</v>
      </c>
      <c r="Q162" s="6" t="s">
        <v>104</v>
      </c>
      <c r="R162" s="6" t="s">
        <v>104</v>
      </c>
      <c r="S162" s="43">
        <v>5060000</v>
      </c>
      <c r="T162" s="42">
        <v>15060000</v>
      </c>
      <c r="U162" s="42">
        <v>17160000</v>
      </c>
      <c r="V162" s="42">
        <v>2800000</v>
      </c>
      <c r="W162" s="42">
        <v>14900000</v>
      </c>
      <c r="X162" s="44"/>
      <c r="Y162" s="44"/>
      <c r="Z162" s="44"/>
      <c r="AA162" s="44"/>
      <c r="AB162" s="44"/>
      <c r="AD162" s="104" t="s">
        <v>6</v>
      </c>
      <c r="AE162" s="9">
        <f ca="1">AnzahlBackgroundColor(E162:AB162)</f>
        <v>8</v>
      </c>
      <c r="AF162" s="16">
        <f t="shared" ca="1" si="45"/>
        <v>15</v>
      </c>
      <c r="AG162">
        <f t="shared" ca="1" si="46"/>
        <v>53.333333333333336</v>
      </c>
      <c r="AH162">
        <f ca="1">AE162*0.5</f>
        <v>4</v>
      </c>
      <c r="AJ162">
        <f t="shared" si="38"/>
        <v>27</v>
      </c>
    </row>
    <row r="163" spans="1:36" x14ac:dyDescent="0.2">
      <c r="A163" s="104" t="s">
        <v>7</v>
      </c>
      <c r="B163" s="191"/>
      <c r="C163" s="186"/>
      <c r="D163" s="199"/>
      <c r="E163" s="42">
        <v>223500000</v>
      </c>
      <c r="F163" s="44">
        <v>150000</v>
      </c>
      <c r="G163" s="43">
        <v>2600000</v>
      </c>
      <c r="H163" s="43">
        <v>2600000</v>
      </c>
      <c r="I163" s="43">
        <v>7700000</v>
      </c>
      <c r="J163" s="42">
        <v>41100000</v>
      </c>
      <c r="K163" s="42">
        <v>65500000</v>
      </c>
      <c r="L163" s="42">
        <v>40300000</v>
      </c>
      <c r="M163" s="42">
        <v>11200000</v>
      </c>
      <c r="N163" s="43">
        <v>8000000</v>
      </c>
      <c r="O163" s="44" t="s">
        <v>102</v>
      </c>
      <c r="P163" s="6" t="s">
        <v>104</v>
      </c>
      <c r="Q163" s="6" t="s">
        <v>104</v>
      </c>
      <c r="R163" s="6" t="s">
        <v>104</v>
      </c>
      <c r="S163" s="42">
        <v>5260000</v>
      </c>
      <c r="T163" s="42">
        <v>8060000</v>
      </c>
      <c r="U163" s="42">
        <v>5160000</v>
      </c>
      <c r="V163" s="43">
        <v>2700000</v>
      </c>
      <c r="W163" s="43">
        <v>4000000</v>
      </c>
      <c r="X163" s="44"/>
      <c r="Y163" s="44"/>
      <c r="Z163" s="44"/>
      <c r="AA163" s="44"/>
      <c r="AB163" s="44"/>
      <c r="AD163" s="104" t="s">
        <v>7</v>
      </c>
      <c r="AE163" s="9">
        <f ca="1">AnzahlBackgroundColor(E163:AB163)</f>
        <v>8</v>
      </c>
      <c r="AF163" s="16">
        <f t="shared" ca="1" si="45"/>
        <v>14</v>
      </c>
      <c r="AG163">
        <f t="shared" ca="1" si="46"/>
        <v>57.142857142857139</v>
      </c>
      <c r="AH163">
        <f ca="1">AE163*1</f>
        <v>8</v>
      </c>
      <c r="AJ163">
        <f t="shared" si="38"/>
        <v>27</v>
      </c>
    </row>
    <row r="164" spans="1:36" x14ac:dyDescent="0.2">
      <c r="A164" s="104" t="s">
        <v>8</v>
      </c>
      <c r="B164" s="194"/>
      <c r="C164" s="195"/>
      <c r="D164" s="200"/>
      <c r="E164" s="42">
        <v>196400000</v>
      </c>
      <c r="F164" s="42">
        <v>4700000</v>
      </c>
      <c r="G164" s="42">
        <v>2500000</v>
      </c>
      <c r="H164" s="44" t="s">
        <v>101</v>
      </c>
      <c r="I164" s="43">
        <v>2300000</v>
      </c>
      <c r="J164" s="44" t="s">
        <v>101</v>
      </c>
      <c r="K164" s="43">
        <v>2600000</v>
      </c>
      <c r="L164" s="44" t="s">
        <v>101</v>
      </c>
      <c r="M164" s="42">
        <v>17000000</v>
      </c>
      <c r="N164" s="42">
        <v>27700000</v>
      </c>
      <c r="O164" s="42">
        <v>21200000</v>
      </c>
      <c r="P164" s="42">
        <v>10100000</v>
      </c>
      <c r="Q164" s="42">
        <v>20100000</v>
      </c>
      <c r="R164" s="42">
        <v>12360000</v>
      </c>
      <c r="S164" s="44">
        <v>0</v>
      </c>
      <c r="T164" s="42">
        <v>17760000</v>
      </c>
      <c r="U164" s="44">
        <v>0</v>
      </c>
      <c r="V164" s="42">
        <v>15800000</v>
      </c>
      <c r="W164" s="43">
        <v>12700000</v>
      </c>
      <c r="X164" s="44"/>
      <c r="Y164" s="42"/>
      <c r="Z164" s="42"/>
      <c r="AA164" s="44"/>
      <c r="AB164" s="44"/>
      <c r="AD164" s="104" t="s">
        <v>8</v>
      </c>
      <c r="AE164" s="9">
        <f ca="1">AnzahlBackgroundColor(E164:AB164)</f>
        <v>13</v>
      </c>
      <c r="AF164" s="16">
        <f t="shared" ca="1" si="45"/>
        <v>16</v>
      </c>
      <c r="AG164">
        <f ca="1">AE164/AF164*100</f>
        <v>81.25</v>
      </c>
      <c r="AH164">
        <f ca="1">AE164*2</f>
        <v>26</v>
      </c>
      <c r="AJ164">
        <f t="shared" si="38"/>
        <v>27</v>
      </c>
    </row>
    <row r="165" spans="1:36" x14ac:dyDescent="0.2">
      <c r="E165" s="121" t="s">
        <v>116</v>
      </c>
      <c r="G165" s="122" t="s">
        <v>117</v>
      </c>
      <c r="AD165" s="104" t="s">
        <v>75</v>
      </c>
      <c r="AE165" s="19">
        <f ca="1" xml:space="preserve"> AE157+AE158+AE159+AE160+AE161+AE162+AE163+AE164</f>
        <v>100</v>
      </c>
      <c r="AF165" s="19">
        <f ca="1" xml:space="preserve"> AF157+AF158+AF159+AF160+AF161+AF162+AF163+AF164</f>
        <v>141</v>
      </c>
      <c r="AG165" s="19">
        <f t="shared" ref="AG165" ca="1" si="47">AE165/AF165*100</f>
        <v>70.921985815602838</v>
      </c>
      <c r="AH165" s="19">
        <f ca="1" xml:space="preserve"> AH157+AH158+AH159+AH160+AH161+AH162+AH163+AH164</f>
        <v>43.4</v>
      </c>
      <c r="AI165" t="s">
        <v>193</v>
      </c>
      <c r="AJ165">
        <f t="shared" si="38"/>
        <v>27</v>
      </c>
    </row>
    <row r="166" spans="1:36" x14ac:dyDescent="0.2">
      <c r="B166" s="1" t="s">
        <v>58</v>
      </c>
      <c r="C166" s="1" t="s">
        <v>58</v>
      </c>
      <c r="D166" s="1" t="s">
        <v>58</v>
      </c>
      <c r="E166" s="1" t="s">
        <v>58</v>
      </c>
      <c r="F166" s="1" t="s">
        <v>58</v>
      </c>
      <c r="G166" s="1" t="s">
        <v>58</v>
      </c>
      <c r="H166" s="1" t="s">
        <v>58</v>
      </c>
      <c r="I166" s="1" t="s">
        <v>58</v>
      </c>
      <c r="J166" s="1" t="s">
        <v>58</v>
      </c>
      <c r="K166" s="1" t="s">
        <v>58</v>
      </c>
      <c r="L166" s="1" t="s">
        <v>58</v>
      </c>
      <c r="M166" s="1" t="s">
        <v>58</v>
      </c>
      <c r="N166" s="1" t="s">
        <v>58</v>
      </c>
      <c r="O166" s="1" t="s">
        <v>58</v>
      </c>
      <c r="P166" s="1" t="s">
        <v>58</v>
      </c>
      <c r="Q166" s="1" t="s">
        <v>58</v>
      </c>
      <c r="R166" s="1" t="s">
        <v>58</v>
      </c>
      <c r="S166" s="1" t="s">
        <v>58</v>
      </c>
      <c r="T166" s="1" t="s">
        <v>58</v>
      </c>
      <c r="U166" s="1" t="s">
        <v>58</v>
      </c>
      <c r="V166" s="1" t="s">
        <v>58</v>
      </c>
      <c r="W166" s="1" t="s">
        <v>58</v>
      </c>
      <c r="X166" s="1" t="s">
        <v>58</v>
      </c>
      <c r="Y166" s="1" t="s">
        <v>58</v>
      </c>
      <c r="Z166" s="1" t="s">
        <v>58</v>
      </c>
      <c r="AA166" s="1" t="s">
        <v>58</v>
      </c>
      <c r="AB166" s="1" t="s">
        <v>58</v>
      </c>
      <c r="AJ166">
        <f t="shared" si="38"/>
        <v>27</v>
      </c>
    </row>
    <row r="167" spans="1:36" x14ac:dyDescent="0.2">
      <c r="B167" s="4">
        <v>1999</v>
      </c>
      <c r="C167" s="4">
        <v>2000</v>
      </c>
      <c r="D167" s="4">
        <v>2001</v>
      </c>
      <c r="E167" s="4">
        <v>2002</v>
      </c>
      <c r="F167" s="4">
        <v>2003</v>
      </c>
      <c r="G167" s="4">
        <v>2004</v>
      </c>
      <c r="H167" s="4">
        <v>2005</v>
      </c>
      <c r="I167" s="4">
        <v>2006</v>
      </c>
      <c r="J167" s="4">
        <v>2007</v>
      </c>
      <c r="K167" s="4">
        <v>2008</v>
      </c>
      <c r="L167" s="4">
        <v>2009</v>
      </c>
      <c r="M167" s="4">
        <v>2010</v>
      </c>
      <c r="N167" s="4">
        <v>2011</v>
      </c>
      <c r="O167" s="4">
        <v>2012</v>
      </c>
      <c r="P167" s="4">
        <v>2013</v>
      </c>
      <c r="Q167" s="4">
        <v>2014</v>
      </c>
      <c r="R167" s="4">
        <v>2015</v>
      </c>
      <c r="S167" s="4">
        <v>2016</v>
      </c>
      <c r="T167" s="4">
        <v>2017</v>
      </c>
      <c r="U167" s="4">
        <v>2018</v>
      </c>
      <c r="V167" s="4">
        <v>2019</v>
      </c>
      <c r="W167" s="4">
        <v>2020</v>
      </c>
      <c r="X167" s="4">
        <v>2021</v>
      </c>
      <c r="Y167" s="4">
        <v>2022</v>
      </c>
      <c r="Z167" s="4">
        <v>2023</v>
      </c>
      <c r="AA167" s="4">
        <v>2024</v>
      </c>
      <c r="AB167" s="4">
        <v>2025</v>
      </c>
      <c r="AE167" t="s">
        <v>73</v>
      </c>
      <c r="AF167" s="4" t="s">
        <v>74</v>
      </c>
      <c r="AG167" s="4" t="s">
        <v>77</v>
      </c>
      <c r="AH167" t="s">
        <v>78</v>
      </c>
      <c r="AJ167">
        <f t="shared" si="38"/>
        <v>27</v>
      </c>
    </row>
    <row r="168" spans="1:36" x14ac:dyDescent="0.2">
      <c r="A168" s="104" t="s">
        <v>1</v>
      </c>
      <c r="B168" s="187"/>
      <c r="C168" s="188"/>
      <c r="D168" s="198"/>
      <c r="E168" s="100">
        <v>278106172</v>
      </c>
      <c r="F168" s="106" t="s">
        <v>102</v>
      </c>
      <c r="G168" s="100">
        <v>75000000</v>
      </c>
      <c r="H168" s="101">
        <v>40000000</v>
      </c>
      <c r="I168" s="101">
        <v>30000000</v>
      </c>
      <c r="J168" s="101">
        <v>105000000</v>
      </c>
      <c r="K168" s="100">
        <v>75000000</v>
      </c>
      <c r="L168" s="101">
        <v>60000000</v>
      </c>
      <c r="M168" s="101">
        <v>15000000</v>
      </c>
      <c r="N168" s="100">
        <v>20000000</v>
      </c>
      <c r="O168" s="100">
        <v>50000000</v>
      </c>
      <c r="P168" s="106" t="s">
        <v>102</v>
      </c>
      <c r="Q168" s="101">
        <v>20000000</v>
      </c>
      <c r="R168" s="101">
        <v>40000000</v>
      </c>
      <c r="S168" s="101">
        <v>40000000</v>
      </c>
      <c r="T168" s="235">
        <v>55000000</v>
      </c>
      <c r="U168" s="106">
        <v>21500</v>
      </c>
      <c r="V168" s="235">
        <v>50000000</v>
      </c>
      <c r="W168" s="106"/>
      <c r="X168" s="106"/>
      <c r="Y168" s="106"/>
      <c r="Z168" s="106"/>
      <c r="AA168" s="106"/>
      <c r="AB168" s="106"/>
      <c r="AD168" s="104" t="s">
        <v>1</v>
      </c>
      <c r="AE168" s="9">
        <f ca="1">AnzahlBackgroundColor(E168:AB168)</f>
        <v>5</v>
      </c>
      <c r="AF168" s="16">
        <f ca="1">AJ168-AnzahlBackgroundColor(B168:AB168)</f>
        <v>15</v>
      </c>
      <c r="AG168">
        <f ca="1">AE168/AF168*100</f>
        <v>33.333333333333329</v>
      </c>
      <c r="AH168">
        <f ca="1">AE168*0.01</f>
        <v>0.05</v>
      </c>
      <c r="AJ168">
        <f t="shared" si="38"/>
        <v>27</v>
      </c>
    </row>
    <row r="169" spans="1:36" x14ac:dyDescent="0.2">
      <c r="A169" s="104" t="s">
        <v>2</v>
      </c>
      <c r="B169" s="191"/>
      <c r="C169" s="186"/>
      <c r="D169" s="199"/>
      <c r="E169" s="100">
        <v>324376590</v>
      </c>
      <c r="F169" s="106" t="s">
        <v>102</v>
      </c>
      <c r="G169" s="101">
        <v>1000000</v>
      </c>
      <c r="H169" s="101">
        <v>10000000</v>
      </c>
      <c r="I169" s="101">
        <v>1000000</v>
      </c>
      <c r="J169" s="101">
        <v>10000000</v>
      </c>
      <c r="K169" s="101">
        <v>35000000</v>
      </c>
      <c r="L169" s="100">
        <v>45000000</v>
      </c>
      <c r="M169" s="101">
        <v>10000000</v>
      </c>
      <c r="N169" s="101">
        <v>30000000</v>
      </c>
      <c r="O169" s="100">
        <v>35000000</v>
      </c>
      <c r="P169" s="106" t="s">
        <v>102</v>
      </c>
      <c r="Q169" s="101">
        <v>20000000</v>
      </c>
      <c r="R169" s="101">
        <v>20000000</v>
      </c>
      <c r="S169" s="101">
        <v>15000000</v>
      </c>
      <c r="T169" s="235">
        <v>35000000</v>
      </c>
      <c r="U169" s="106">
        <v>21500</v>
      </c>
      <c r="V169" s="106">
        <v>25500</v>
      </c>
      <c r="W169" s="106"/>
      <c r="X169" s="106"/>
      <c r="Y169" s="106"/>
      <c r="Z169" s="106"/>
      <c r="AA169" s="106"/>
      <c r="AB169" s="106"/>
      <c r="AD169" s="104" t="s">
        <v>2</v>
      </c>
      <c r="AE169" s="9">
        <f ca="1">AnzahlBackgroundColor(E169:AB169)</f>
        <v>3</v>
      </c>
      <c r="AF169" s="16">
        <f t="shared" ref="AF169:AF175" ca="1" si="48">AJ169-AnzahlBackgroundColor(B169:AB169)</f>
        <v>14</v>
      </c>
      <c r="AG169">
        <f t="shared" ref="AG169:AG174" ca="1" si="49">AE169/AF169*100</f>
        <v>21.428571428571427</v>
      </c>
      <c r="AH169">
        <f ca="1">AE169*0.02</f>
        <v>0.06</v>
      </c>
      <c r="AJ169">
        <f t="shared" si="38"/>
        <v>27</v>
      </c>
    </row>
    <row r="170" spans="1:36" x14ac:dyDescent="0.2">
      <c r="A170" s="104" t="s">
        <v>3</v>
      </c>
      <c r="B170" s="191"/>
      <c r="C170" s="186"/>
      <c r="D170" s="199"/>
      <c r="E170" s="100">
        <v>234512047</v>
      </c>
      <c r="F170" s="106" t="s">
        <v>102</v>
      </c>
      <c r="G170" s="100">
        <v>40000000</v>
      </c>
      <c r="H170" s="100">
        <v>30000000</v>
      </c>
      <c r="I170" s="101">
        <v>20000000</v>
      </c>
      <c r="J170" s="100">
        <v>25000000</v>
      </c>
      <c r="K170" s="101">
        <v>25000000</v>
      </c>
      <c r="L170" s="100">
        <v>25000000</v>
      </c>
      <c r="M170" s="101">
        <v>5000000</v>
      </c>
      <c r="N170" s="101">
        <v>25000000</v>
      </c>
      <c r="O170" s="101">
        <v>15000000</v>
      </c>
      <c r="P170" s="106" t="s">
        <v>102</v>
      </c>
      <c r="Q170" s="6"/>
      <c r="R170" s="6"/>
      <c r="S170" s="100">
        <v>15000000</v>
      </c>
      <c r="T170" s="235">
        <v>25000000</v>
      </c>
      <c r="U170" s="235">
        <v>37545000</v>
      </c>
      <c r="V170" s="235">
        <v>30000000</v>
      </c>
      <c r="W170" s="106"/>
      <c r="X170" s="106"/>
      <c r="Y170" s="106"/>
      <c r="Z170" s="106"/>
      <c r="AA170" s="106"/>
      <c r="AB170" s="106"/>
      <c r="AD170" s="104" t="s">
        <v>3</v>
      </c>
      <c r="AE170" s="9">
        <f ca="1">AnzahlBackgroundColor(E170:AB170)</f>
        <v>6</v>
      </c>
      <c r="AF170" s="16">
        <f t="shared" ca="1" si="48"/>
        <v>14</v>
      </c>
      <c r="AG170">
        <f t="shared" ca="1" si="49"/>
        <v>42.857142857142854</v>
      </c>
      <c r="AH170">
        <f ca="1">AE170*0.05</f>
        <v>0.30000000000000004</v>
      </c>
      <c r="AJ170">
        <f t="shared" si="38"/>
        <v>27</v>
      </c>
    </row>
    <row r="171" spans="1:36" x14ac:dyDescent="0.2">
      <c r="A171" s="104" t="s">
        <v>4</v>
      </c>
      <c r="B171" s="191"/>
      <c r="C171" s="186"/>
      <c r="D171" s="199"/>
      <c r="E171" s="100">
        <v>220289835</v>
      </c>
      <c r="F171" s="100">
        <v>6332000</v>
      </c>
      <c r="G171" s="101">
        <v>1000000</v>
      </c>
      <c r="H171" s="101">
        <v>1000000</v>
      </c>
      <c r="I171" s="101">
        <v>1000000</v>
      </c>
      <c r="J171" s="106" t="s">
        <v>102</v>
      </c>
      <c r="K171" s="101">
        <v>1000000</v>
      </c>
      <c r="L171" s="100">
        <v>10000000</v>
      </c>
      <c r="M171" s="106" t="s">
        <v>102</v>
      </c>
      <c r="N171" s="106" t="s">
        <v>102</v>
      </c>
      <c r="O171" s="106" t="s">
        <v>102</v>
      </c>
      <c r="P171" s="106" t="s">
        <v>102</v>
      </c>
      <c r="Q171" s="6"/>
      <c r="R171" s="6"/>
      <c r="S171" s="100">
        <v>15000000</v>
      </c>
      <c r="T171" s="235">
        <v>25000000</v>
      </c>
      <c r="U171" s="235">
        <v>19304000</v>
      </c>
      <c r="V171" s="235">
        <v>20000000</v>
      </c>
      <c r="W171" s="106"/>
      <c r="X171" s="106"/>
      <c r="Y171" s="106"/>
      <c r="Z171" s="106"/>
      <c r="AA171" s="106"/>
      <c r="AB171" s="106"/>
      <c r="AD171" s="104" t="s">
        <v>4</v>
      </c>
      <c r="AE171" s="9">
        <f ca="1">AnzahlBackgroundColor(E171:AB171)</f>
        <v>4</v>
      </c>
      <c r="AF171" s="16">
        <f t="shared" ca="1" si="48"/>
        <v>11</v>
      </c>
      <c r="AG171">
        <f t="shared" ca="1" si="49"/>
        <v>36.363636363636367</v>
      </c>
      <c r="AH171">
        <f ca="1">AE171*0.1</f>
        <v>0.4</v>
      </c>
      <c r="AJ171">
        <f t="shared" si="38"/>
        <v>27</v>
      </c>
    </row>
    <row r="172" spans="1:36" x14ac:dyDescent="0.2">
      <c r="A172" s="104" t="s">
        <v>5</v>
      </c>
      <c r="B172" s="191"/>
      <c r="C172" s="186"/>
      <c r="D172" s="199"/>
      <c r="E172" s="100">
        <v>147411038</v>
      </c>
      <c r="F172" s="101">
        <v>9493600</v>
      </c>
      <c r="G172" s="101">
        <v>1000000</v>
      </c>
      <c r="H172" s="100">
        <v>25000000</v>
      </c>
      <c r="I172" s="100">
        <v>20000000</v>
      </c>
      <c r="J172" s="106" t="s">
        <v>102</v>
      </c>
      <c r="K172" s="101">
        <v>1000000</v>
      </c>
      <c r="L172" s="100">
        <v>20000000</v>
      </c>
      <c r="M172" s="100">
        <v>5000000</v>
      </c>
      <c r="N172" s="101">
        <v>10000000</v>
      </c>
      <c r="O172" s="106" t="s">
        <v>102</v>
      </c>
      <c r="P172" s="106" t="s">
        <v>102</v>
      </c>
      <c r="Q172" s="6"/>
      <c r="R172" s="101">
        <v>15000000</v>
      </c>
      <c r="S172" s="100">
        <v>25000000</v>
      </c>
      <c r="T172" s="235">
        <v>30000000</v>
      </c>
      <c r="U172" s="235">
        <v>15000000</v>
      </c>
      <c r="V172" s="106">
        <v>25500</v>
      </c>
      <c r="W172" s="106"/>
      <c r="X172" s="106"/>
      <c r="Y172" s="106"/>
      <c r="Z172" s="106"/>
      <c r="AA172" s="106"/>
      <c r="AB172" s="106"/>
      <c r="AD172" s="104" t="s">
        <v>5</v>
      </c>
      <c r="AE172" s="9">
        <f ca="1">AnzahlBackgroundColor(E172:AB172)</f>
        <v>6</v>
      </c>
      <c r="AF172" s="16">
        <f t="shared" ca="1" si="48"/>
        <v>13</v>
      </c>
      <c r="AG172">
        <f t="shared" ca="1" si="49"/>
        <v>46.153846153846153</v>
      </c>
      <c r="AH172">
        <f ca="1">AE172*0.2</f>
        <v>1.2000000000000002</v>
      </c>
      <c r="AJ172">
        <f t="shared" si="38"/>
        <v>27</v>
      </c>
    </row>
    <row r="173" spans="1:36" x14ac:dyDescent="0.2">
      <c r="A173" s="104" t="s">
        <v>6</v>
      </c>
      <c r="B173" s="191"/>
      <c r="C173" s="186"/>
      <c r="D173" s="199"/>
      <c r="E173" s="100">
        <v>151947133</v>
      </c>
      <c r="F173" s="100">
        <v>10353000</v>
      </c>
      <c r="G173" s="101">
        <v>1000000</v>
      </c>
      <c r="H173" s="101">
        <v>1000000</v>
      </c>
      <c r="I173" s="101">
        <v>1000000</v>
      </c>
      <c r="J173" s="106" t="s">
        <v>102</v>
      </c>
      <c r="K173" s="100">
        <v>5000000</v>
      </c>
      <c r="L173" s="100">
        <v>20000000</v>
      </c>
      <c r="M173" s="100">
        <v>20000000</v>
      </c>
      <c r="N173" s="100" t="s">
        <v>102</v>
      </c>
      <c r="O173" s="106" t="s">
        <v>102</v>
      </c>
      <c r="P173" s="106" t="s">
        <v>102</v>
      </c>
      <c r="Q173" s="6"/>
      <c r="R173" s="101">
        <v>20000000</v>
      </c>
      <c r="S173" s="101">
        <v>2000000</v>
      </c>
      <c r="T173" s="235">
        <v>30000000</v>
      </c>
      <c r="U173" s="106">
        <v>21500</v>
      </c>
      <c r="V173" s="235">
        <v>10000000</v>
      </c>
      <c r="W173" s="106"/>
      <c r="X173" s="106"/>
      <c r="Y173" s="106"/>
      <c r="Z173" s="106"/>
      <c r="AA173" s="106"/>
      <c r="AB173" s="106"/>
      <c r="AD173" s="104" t="s">
        <v>6</v>
      </c>
      <c r="AE173" s="9">
        <f ca="1">AnzahlBackgroundColor(E173:AB173)</f>
        <v>6</v>
      </c>
      <c r="AF173" s="16">
        <f t="shared" ca="1" si="48"/>
        <v>13</v>
      </c>
      <c r="AG173">
        <f t="shared" ca="1" si="49"/>
        <v>46.153846153846153</v>
      </c>
      <c r="AH173">
        <f ca="1">AE173*0.5</f>
        <v>3</v>
      </c>
      <c r="AJ173">
        <f t="shared" si="38"/>
        <v>27</v>
      </c>
    </row>
    <row r="174" spans="1:36" x14ac:dyDescent="0.2">
      <c r="A174" s="104" t="s">
        <v>7</v>
      </c>
      <c r="B174" s="191"/>
      <c r="C174" s="186"/>
      <c r="D174" s="199"/>
      <c r="E174" s="100">
        <v>100228135</v>
      </c>
      <c r="F174" s="101">
        <v>16206875</v>
      </c>
      <c r="G174" s="100">
        <v>20000000</v>
      </c>
      <c r="H174" s="100">
        <v>20000000</v>
      </c>
      <c r="I174" s="107">
        <v>20000000</v>
      </c>
      <c r="J174" s="100">
        <v>4935400</v>
      </c>
      <c r="K174" s="101">
        <v>5000000</v>
      </c>
      <c r="L174" s="100">
        <v>20000000</v>
      </c>
      <c r="M174" s="100">
        <v>20000000</v>
      </c>
      <c r="N174" s="100">
        <v>5000000</v>
      </c>
      <c r="O174" s="106" t="s">
        <v>102</v>
      </c>
      <c r="P174" s="106" t="s">
        <v>102</v>
      </c>
      <c r="Q174" s="100">
        <v>9000000</v>
      </c>
      <c r="R174" s="100">
        <v>15000000</v>
      </c>
      <c r="S174" s="100">
        <v>35000000</v>
      </c>
      <c r="T174" s="100">
        <v>20000000</v>
      </c>
      <c r="U174" s="235">
        <v>25000000</v>
      </c>
      <c r="V174" s="235">
        <v>4000000</v>
      </c>
      <c r="W174" s="100"/>
      <c r="X174" s="106"/>
      <c r="Y174" s="106"/>
      <c r="Z174" s="106"/>
      <c r="AA174" s="106"/>
      <c r="AB174" s="106"/>
      <c r="AD174" s="104" t="s">
        <v>7</v>
      </c>
      <c r="AE174" s="9">
        <f ca="1">AnzahlBackgroundColor(E174:AB174)</f>
        <v>13</v>
      </c>
      <c r="AF174" s="16">
        <f t="shared" ca="1" si="48"/>
        <v>17</v>
      </c>
      <c r="AG174">
        <f t="shared" ca="1" si="49"/>
        <v>76.470588235294116</v>
      </c>
      <c r="AH174">
        <f ca="1">AE174*1</f>
        <v>13</v>
      </c>
      <c r="AJ174">
        <f t="shared" si="38"/>
        <v>27</v>
      </c>
    </row>
    <row r="175" spans="1:36" x14ac:dyDescent="0.2">
      <c r="A175" s="104" t="s">
        <v>8</v>
      </c>
      <c r="B175" s="194"/>
      <c r="C175" s="195"/>
      <c r="D175" s="200"/>
      <c r="E175" s="100">
        <v>61930775</v>
      </c>
      <c r="F175" s="101">
        <v>5979750</v>
      </c>
      <c r="G175" s="101">
        <v>1000000</v>
      </c>
      <c r="H175" s="101">
        <v>1000000</v>
      </c>
      <c r="I175" s="101">
        <v>1000000</v>
      </c>
      <c r="J175" s="106" t="s">
        <v>102</v>
      </c>
      <c r="K175" s="106" t="s">
        <v>102</v>
      </c>
      <c r="L175" s="106" t="s">
        <v>102</v>
      </c>
      <c r="M175" s="106" t="s">
        <v>102</v>
      </c>
      <c r="N175" s="106" t="s">
        <v>102</v>
      </c>
      <c r="O175" s="106" t="s">
        <v>102</v>
      </c>
      <c r="P175" s="106" t="s">
        <v>102</v>
      </c>
      <c r="Q175" s="106" t="s">
        <v>102</v>
      </c>
      <c r="R175" s="6" t="s">
        <v>185</v>
      </c>
      <c r="S175" s="106">
        <v>280000</v>
      </c>
      <c r="T175" s="106">
        <v>21500</v>
      </c>
      <c r="U175" s="106">
        <v>21500</v>
      </c>
      <c r="V175" s="106">
        <v>25500</v>
      </c>
      <c r="W175" s="106"/>
      <c r="X175" s="106"/>
      <c r="Y175" s="106"/>
      <c r="Z175" s="106"/>
      <c r="AA175" s="106"/>
      <c r="AB175" s="106"/>
      <c r="AD175" s="104" t="s">
        <v>8</v>
      </c>
      <c r="AE175" s="9">
        <f ca="1">AnzahlBackgroundColor(E175:AB175)</f>
        <v>1</v>
      </c>
      <c r="AF175" s="16">
        <f t="shared" ca="1" si="48"/>
        <v>5</v>
      </c>
      <c r="AG175">
        <f ca="1">AE175/AF175*100</f>
        <v>20</v>
      </c>
      <c r="AH175">
        <f ca="1">AE175*2</f>
        <v>2</v>
      </c>
      <c r="AJ175">
        <f t="shared" si="38"/>
        <v>27</v>
      </c>
    </row>
    <row r="176" spans="1:36" x14ac:dyDescent="0.2">
      <c r="E176" s="121" t="s">
        <v>116</v>
      </c>
      <c r="R176" t="s">
        <v>164</v>
      </c>
      <c r="AD176" s="104" t="s">
        <v>75</v>
      </c>
      <c r="AE176" s="19">
        <f ca="1" xml:space="preserve"> AE168+AE169+AE170+AE171+AE172+AE173+AE174+AE175</f>
        <v>44</v>
      </c>
      <c r="AF176" s="19">
        <f ca="1" xml:space="preserve"> AF168+AF169+AF170+AF171+AF172+AF173+AF174+AF175</f>
        <v>102</v>
      </c>
      <c r="AG176" s="19">
        <f t="shared" ref="AG176" ca="1" si="50">AE176/AF176*100</f>
        <v>43.137254901960787</v>
      </c>
      <c r="AH176" s="19">
        <f ca="1" xml:space="preserve"> AH168+AH169+AH170+AH171+AH172+AH173+AH174+AH175</f>
        <v>20.009999999999998</v>
      </c>
      <c r="AJ176">
        <f t="shared" si="38"/>
        <v>27</v>
      </c>
    </row>
    <row r="177" spans="1:36" x14ac:dyDescent="0.2">
      <c r="B177" s="1" t="s">
        <v>11</v>
      </c>
      <c r="C177" s="1" t="s">
        <v>11</v>
      </c>
      <c r="D177" s="1" t="s">
        <v>11</v>
      </c>
      <c r="E177" s="1" t="s">
        <v>11</v>
      </c>
      <c r="F177" s="1" t="s">
        <v>11</v>
      </c>
      <c r="G177" s="1" t="s">
        <v>11</v>
      </c>
      <c r="H177" s="1" t="s">
        <v>11</v>
      </c>
      <c r="I177" s="1" t="s">
        <v>11</v>
      </c>
      <c r="J177" s="1" t="s">
        <v>11</v>
      </c>
      <c r="K177" s="1" t="s">
        <v>11</v>
      </c>
      <c r="L177" s="1" t="s">
        <v>11</v>
      </c>
      <c r="M177" s="1" t="s">
        <v>11</v>
      </c>
      <c r="N177" s="1" t="s">
        <v>11</v>
      </c>
      <c r="O177" s="1" t="s">
        <v>11</v>
      </c>
      <c r="P177" s="1" t="s">
        <v>11</v>
      </c>
      <c r="Q177" s="1" t="s">
        <v>11</v>
      </c>
      <c r="R177" s="1" t="s">
        <v>11</v>
      </c>
      <c r="S177" s="1" t="s">
        <v>11</v>
      </c>
      <c r="T177" s="1" t="s">
        <v>11</v>
      </c>
      <c r="U177" s="1" t="s">
        <v>11</v>
      </c>
      <c r="V177" s="1" t="s">
        <v>11</v>
      </c>
      <c r="W177" s="1" t="s">
        <v>11</v>
      </c>
      <c r="X177" s="1" t="s">
        <v>11</v>
      </c>
      <c r="Y177" s="1" t="s">
        <v>11</v>
      </c>
      <c r="Z177" s="1" t="s">
        <v>11</v>
      </c>
      <c r="AA177" s="1" t="s">
        <v>11</v>
      </c>
      <c r="AB177" s="1" t="s">
        <v>11</v>
      </c>
      <c r="AJ177">
        <f t="shared" si="38"/>
        <v>27</v>
      </c>
    </row>
    <row r="178" spans="1:36" x14ac:dyDescent="0.2">
      <c r="B178" s="4">
        <v>1999</v>
      </c>
      <c r="C178" s="4">
        <v>2000</v>
      </c>
      <c r="D178" s="4">
        <v>2001</v>
      </c>
      <c r="E178" s="4">
        <v>2002</v>
      </c>
      <c r="F178" s="4">
        <v>2003</v>
      </c>
      <c r="G178" s="4">
        <v>2004</v>
      </c>
      <c r="H178" s="4">
        <v>2005</v>
      </c>
      <c r="I178" s="4">
        <v>2006</v>
      </c>
      <c r="J178" s="4">
        <v>2007</v>
      </c>
      <c r="K178" s="4">
        <v>2008</v>
      </c>
      <c r="L178" s="4">
        <v>2009</v>
      </c>
      <c r="M178" s="4">
        <v>2010</v>
      </c>
      <c r="N178" s="4">
        <v>2011</v>
      </c>
      <c r="O178" s="4">
        <v>2012</v>
      </c>
      <c r="P178" s="4">
        <v>2013</v>
      </c>
      <c r="Q178" s="4">
        <v>2014</v>
      </c>
      <c r="R178" s="4">
        <v>2015</v>
      </c>
      <c r="S178" s="4">
        <v>2016</v>
      </c>
      <c r="T178" s="4">
        <v>2017</v>
      </c>
      <c r="U178" s="4">
        <v>2018</v>
      </c>
      <c r="V178" s="4">
        <v>2019</v>
      </c>
      <c r="W178" s="4">
        <v>2020</v>
      </c>
      <c r="X178" s="4">
        <v>2021</v>
      </c>
      <c r="Y178" s="4">
        <v>2022</v>
      </c>
      <c r="Z178" s="4">
        <v>2023</v>
      </c>
      <c r="AA178" s="4">
        <v>2024</v>
      </c>
      <c r="AB178" s="4">
        <v>2025</v>
      </c>
      <c r="AE178" t="s">
        <v>73</v>
      </c>
      <c r="AF178" s="4" t="s">
        <v>74</v>
      </c>
      <c r="AG178" s="4" t="s">
        <v>77</v>
      </c>
      <c r="AH178" t="s">
        <v>78</v>
      </c>
      <c r="AJ178">
        <f t="shared" si="38"/>
        <v>27</v>
      </c>
    </row>
    <row r="179" spans="1:36" x14ac:dyDescent="0.2">
      <c r="A179" s="104" t="s">
        <v>1</v>
      </c>
      <c r="B179" s="187"/>
      <c r="C179" s="188"/>
      <c r="D179" s="188"/>
      <c r="E179" s="188"/>
      <c r="F179" s="188"/>
      <c r="G179" s="189"/>
      <c r="H179" s="189"/>
      <c r="I179" s="189"/>
      <c r="J179" s="189"/>
      <c r="K179" s="190"/>
      <c r="L179" s="43">
        <v>90744900</v>
      </c>
      <c r="M179" s="43">
        <v>30000000</v>
      </c>
      <c r="N179" s="43">
        <v>20400000</v>
      </c>
      <c r="O179" s="43">
        <v>10500000</v>
      </c>
      <c r="P179" s="44" t="s">
        <v>104</v>
      </c>
      <c r="Q179" s="186"/>
      <c r="R179" s="43">
        <v>22000000</v>
      </c>
      <c r="S179" s="205">
        <v>28899000</v>
      </c>
      <c r="T179" s="205">
        <v>20018000</v>
      </c>
      <c r="U179" s="205">
        <v>20606000</v>
      </c>
      <c r="V179" s="205">
        <v>32015000</v>
      </c>
      <c r="W179" s="205">
        <v>56025000</v>
      </c>
      <c r="X179" s="205">
        <v>140190000</v>
      </c>
      <c r="Y179" s="106"/>
      <c r="Z179" s="106"/>
      <c r="AA179" s="106"/>
      <c r="AB179" s="106"/>
      <c r="AD179" s="104" t="s">
        <v>1</v>
      </c>
      <c r="AE179" s="9">
        <f ca="1">AnzahlBackgroundColor(B179:AB179)</f>
        <v>0</v>
      </c>
      <c r="AF179" s="16">
        <f ca="1">AJ179-AnzahlBackgroundColor(B179:AB179)</f>
        <v>11</v>
      </c>
      <c r="AG179">
        <f ca="1">AE179/AF179*100</f>
        <v>0</v>
      </c>
      <c r="AH179">
        <f ca="1">AE179*0.01</f>
        <v>0</v>
      </c>
      <c r="AJ179">
        <f t="shared" si="38"/>
        <v>27</v>
      </c>
    </row>
    <row r="180" spans="1:36" x14ac:dyDescent="0.2">
      <c r="A180" s="104" t="s">
        <v>2</v>
      </c>
      <c r="B180" s="191"/>
      <c r="C180" s="186"/>
      <c r="D180" s="186"/>
      <c r="E180" s="186"/>
      <c r="F180" s="186"/>
      <c r="G180" s="192"/>
      <c r="H180" s="192"/>
      <c r="I180" s="192"/>
      <c r="J180" s="192"/>
      <c r="K180" s="193"/>
      <c r="L180" s="43">
        <v>80821900</v>
      </c>
      <c r="M180" s="43">
        <v>50000000</v>
      </c>
      <c r="N180" s="43">
        <v>15000000</v>
      </c>
      <c r="O180" s="44" t="s">
        <v>102</v>
      </c>
      <c r="P180" s="44" t="s">
        <v>104</v>
      </c>
      <c r="Q180" s="186"/>
      <c r="R180" s="43">
        <v>15000000</v>
      </c>
      <c r="S180" s="205">
        <v>17026000</v>
      </c>
      <c r="T180" s="205">
        <v>13018000</v>
      </c>
      <c r="U180" s="205">
        <v>12130000</v>
      </c>
      <c r="V180" s="205">
        <v>14015000</v>
      </c>
      <c r="W180" s="205">
        <v>25025000</v>
      </c>
      <c r="X180" s="205">
        <v>7019000</v>
      </c>
      <c r="Y180" s="106"/>
      <c r="Z180" s="106"/>
      <c r="AA180" s="106"/>
      <c r="AB180" s="106"/>
      <c r="AD180" s="104" t="s">
        <v>2</v>
      </c>
      <c r="AE180" s="9">
        <f ca="1">AnzahlBackgroundColor(B180:X180)</f>
        <v>0</v>
      </c>
      <c r="AF180" s="16">
        <f t="shared" ref="AF180:AF186" ca="1" si="51">AJ180-AnzahlBackgroundColor(B180:AB180)</f>
        <v>10</v>
      </c>
      <c r="AG180">
        <f t="shared" ref="AG180:AG185" ca="1" si="52">AE180/AF180*100</f>
        <v>0</v>
      </c>
      <c r="AH180">
        <f ca="1">AE180*0.02</f>
        <v>0</v>
      </c>
      <c r="AJ180">
        <f t="shared" si="38"/>
        <v>27</v>
      </c>
    </row>
    <row r="181" spans="1:36" x14ac:dyDescent="0.2">
      <c r="A181" s="104" t="s">
        <v>3</v>
      </c>
      <c r="B181" s="191"/>
      <c r="C181" s="186"/>
      <c r="D181" s="186"/>
      <c r="E181" s="186"/>
      <c r="F181" s="186"/>
      <c r="G181" s="192"/>
      <c r="H181" s="192"/>
      <c r="I181" s="192"/>
      <c r="J181" s="192"/>
      <c r="K181" s="193"/>
      <c r="L181" s="43">
        <v>84873900</v>
      </c>
      <c r="M181" s="44" t="s">
        <v>102</v>
      </c>
      <c r="N181" s="44" t="s">
        <v>102</v>
      </c>
      <c r="O181" s="44" t="s">
        <v>102</v>
      </c>
      <c r="P181" s="44" t="s">
        <v>104</v>
      </c>
      <c r="Q181" s="186"/>
      <c r="R181" s="6"/>
      <c r="S181" s="44">
        <v>26000</v>
      </c>
      <c r="T181" s="205">
        <v>3018000</v>
      </c>
      <c r="U181" s="205">
        <v>8026000</v>
      </c>
      <c r="V181" s="205">
        <v>4015000</v>
      </c>
      <c r="W181" s="205">
        <v>16025000</v>
      </c>
      <c r="X181" s="205">
        <v>6019000</v>
      </c>
      <c r="Y181" s="106"/>
      <c r="Z181" s="106"/>
      <c r="AA181" s="106"/>
      <c r="AB181" s="106"/>
      <c r="AD181" s="104" t="s">
        <v>3</v>
      </c>
      <c r="AE181" s="9">
        <f ca="1">AnzahlBackgroundColor(B181:X181)</f>
        <v>0</v>
      </c>
      <c r="AF181" s="16">
        <f t="shared" ca="1" si="51"/>
        <v>6</v>
      </c>
      <c r="AG181">
        <f t="shared" ca="1" si="52"/>
        <v>0</v>
      </c>
      <c r="AH181">
        <f ca="1">AE181*0.05</f>
        <v>0</v>
      </c>
      <c r="AJ181">
        <f t="shared" si="38"/>
        <v>27</v>
      </c>
    </row>
    <row r="182" spans="1:36" x14ac:dyDescent="0.2">
      <c r="A182" s="104" t="s">
        <v>4</v>
      </c>
      <c r="B182" s="191"/>
      <c r="C182" s="186"/>
      <c r="D182" s="186"/>
      <c r="E182" s="186"/>
      <c r="F182" s="186"/>
      <c r="G182" s="192"/>
      <c r="H182" s="192"/>
      <c r="I182" s="192"/>
      <c r="J182" s="192"/>
      <c r="K182" s="193"/>
      <c r="L182" s="42">
        <v>74716900</v>
      </c>
      <c r="M182" s="44" t="s">
        <v>102</v>
      </c>
      <c r="N182" s="44" t="s">
        <v>102</v>
      </c>
      <c r="O182" s="44" t="s">
        <v>102</v>
      </c>
      <c r="P182" s="44" t="s">
        <v>104</v>
      </c>
      <c r="Q182" s="186"/>
      <c r="R182" s="6"/>
      <c r="S182" s="44">
        <v>26000</v>
      </c>
      <c r="T182" s="44">
        <v>18000</v>
      </c>
      <c r="U182" s="44">
        <v>26000</v>
      </c>
      <c r="V182" s="205">
        <v>1515000</v>
      </c>
      <c r="W182" s="205">
        <v>12025000</v>
      </c>
      <c r="X182" s="205">
        <v>4019000</v>
      </c>
      <c r="Y182" s="106"/>
      <c r="Z182" s="106"/>
      <c r="AA182" s="106"/>
      <c r="AB182" s="106"/>
      <c r="AD182" s="104" t="s">
        <v>4</v>
      </c>
      <c r="AE182" s="9">
        <f ca="1">AnzahlBackgroundColor(B182:X182)</f>
        <v>1</v>
      </c>
      <c r="AF182" s="16">
        <f t="shared" ca="1" si="51"/>
        <v>4</v>
      </c>
      <c r="AG182">
        <f t="shared" ca="1" si="52"/>
        <v>25</v>
      </c>
      <c r="AH182">
        <f ca="1">AE182*0.1</f>
        <v>0.1</v>
      </c>
      <c r="AJ182">
        <f t="shared" si="38"/>
        <v>27</v>
      </c>
    </row>
    <row r="183" spans="1:36" x14ac:dyDescent="0.2">
      <c r="A183" s="104" t="s">
        <v>5</v>
      </c>
      <c r="B183" s="191"/>
      <c r="C183" s="186"/>
      <c r="D183" s="186"/>
      <c r="E183" s="186"/>
      <c r="F183" s="186"/>
      <c r="G183" s="192"/>
      <c r="H183" s="192"/>
      <c r="I183" s="192"/>
      <c r="J183" s="192"/>
      <c r="K183" s="193"/>
      <c r="L183" s="42">
        <v>66518900</v>
      </c>
      <c r="M183" s="44" t="s">
        <v>102</v>
      </c>
      <c r="N183" s="44" t="s">
        <v>102</v>
      </c>
      <c r="O183" s="44" t="s">
        <v>102</v>
      </c>
      <c r="P183" s="44" t="s">
        <v>104</v>
      </c>
      <c r="Q183" s="186"/>
      <c r="R183" s="6"/>
      <c r="S183" s="44">
        <v>26000</v>
      </c>
      <c r="T183" s="44">
        <v>18000</v>
      </c>
      <c r="U183" s="44">
        <v>26000</v>
      </c>
      <c r="V183" s="44">
        <v>15000</v>
      </c>
      <c r="W183" s="44">
        <v>25000</v>
      </c>
      <c r="X183" s="44">
        <v>19000</v>
      </c>
      <c r="Y183" s="106"/>
      <c r="Z183" s="106"/>
      <c r="AA183" s="106"/>
      <c r="AB183" s="106"/>
      <c r="AD183" s="104" t="s">
        <v>5</v>
      </c>
      <c r="AE183" s="9">
        <f ca="1">AnzahlBackgroundColor(B183:X183)</f>
        <v>1</v>
      </c>
      <c r="AF183" s="16">
        <f t="shared" ca="1" si="51"/>
        <v>1</v>
      </c>
      <c r="AG183">
        <f t="shared" ca="1" si="52"/>
        <v>100</v>
      </c>
      <c r="AH183">
        <f ca="1">AE183*0.2</f>
        <v>0.2</v>
      </c>
      <c r="AJ183">
        <f t="shared" si="38"/>
        <v>27</v>
      </c>
    </row>
    <row r="184" spans="1:36" x14ac:dyDescent="0.2">
      <c r="A184" s="104" t="s">
        <v>6</v>
      </c>
      <c r="B184" s="191"/>
      <c r="C184" s="186"/>
      <c r="D184" s="186"/>
      <c r="E184" s="186"/>
      <c r="F184" s="186"/>
      <c r="G184" s="192"/>
      <c r="H184" s="192"/>
      <c r="I184" s="192"/>
      <c r="J184" s="192"/>
      <c r="K184" s="193"/>
      <c r="L184" s="42">
        <v>59316900</v>
      </c>
      <c r="M184" s="44" t="s">
        <v>102</v>
      </c>
      <c r="N184" s="44" t="s">
        <v>102</v>
      </c>
      <c r="O184" s="44" t="s">
        <v>102</v>
      </c>
      <c r="P184" s="44" t="s">
        <v>104</v>
      </c>
      <c r="Q184" s="186"/>
      <c r="R184" s="6"/>
      <c r="S184" s="44">
        <v>26000</v>
      </c>
      <c r="T184" s="44">
        <v>18000</v>
      </c>
      <c r="U184" s="44">
        <v>26000</v>
      </c>
      <c r="V184" s="44">
        <v>15000</v>
      </c>
      <c r="W184" s="44">
        <v>25000</v>
      </c>
      <c r="X184" s="44">
        <v>19000</v>
      </c>
      <c r="Y184" s="106"/>
      <c r="Z184" s="106"/>
      <c r="AA184" s="106"/>
      <c r="AB184" s="106"/>
      <c r="AD184" s="104" t="s">
        <v>6</v>
      </c>
      <c r="AE184" s="9">
        <f ca="1">AnzahlBackgroundColor(B184:X184)</f>
        <v>1</v>
      </c>
      <c r="AF184" s="16">
        <f t="shared" ca="1" si="51"/>
        <v>1</v>
      </c>
      <c r="AG184">
        <f t="shared" ca="1" si="52"/>
        <v>100</v>
      </c>
      <c r="AH184">
        <f ca="1">AE184*0.5</f>
        <v>0.5</v>
      </c>
      <c r="AJ184">
        <f t="shared" si="38"/>
        <v>27</v>
      </c>
    </row>
    <row r="185" spans="1:36" x14ac:dyDescent="0.2">
      <c r="A185" s="104" t="s">
        <v>7</v>
      </c>
      <c r="B185" s="191"/>
      <c r="C185" s="186"/>
      <c r="D185" s="186"/>
      <c r="E185" s="186"/>
      <c r="F185" s="186"/>
      <c r="G185" s="192"/>
      <c r="H185" s="192"/>
      <c r="I185" s="192"/>
      <c r="J185" s="192"/>
      <c r="K185" s="193"/>
      <c r="L185" s="42">
        <v>46776900</v>
      </c>
      <c r="M185" s="44" t="s">
        <v>102</v>
      </c>
      <c r="N185" s="44" t="s">
        <v>102</v>
      </c>
      <c r="O185" s="44" t="s">
        <v>102</v>
      </c>
      <c r="P185" s="44" t="s">
        <v>104</v>
      </c>
      <c r="Q185" s="186"/>
      <c r="R185" s="6"/>
      <c r="S185" s="44">
        <v>26000</v>
      </c>
      <c r="T185" s="44">
        <v>18000</v>
      </c>
      <c r="U185" s="44">
        <v>26000</v>
      </c>
      <c r="V185" s="44">
        <v>15000</v>
      </c>
      <c r="W185" s="44">
        <v>25000</v>
      </c>
      <c r="X185" s="44">
        <v>19000</v>
      </c>
      <c r="Y185" s="106"/>
      <c r="Z185" s="106"/>
      <c r="AA185" s="106"/>
      <c r="AB185" s="106"/>
      <c r="AD185" s="104" t="s">
        <v>7</v>
      </c>
      <c r="AE185" s="9">
        <f ca="1">AnzahlBackgroundColor(B185:X185)</f>
        <v>1</v>
      </c>
      <c r="AF185" s="16">
        <f t="shared" ca="1" si="51"/>
        <v>1</v>
      </c>
      <c r="AG185">
        <f t="shared" ca="1" si="52"/>
        <v>100</v>
      </c>
      <c r="AH185">
        <f ca="1">AE185*1</f>
        <v>1</v>
      </c>
      <c r="AJ185">
        <f t="shared" si="38"/>
        <v>27</v>
      </c>
    </row>
    <row r="186" spans="1:36" x14ac:dyDescent="0.2">
      <c r="A186" s="104" t="s">
        <v>8</v>
      </c>
      <c r="B186" s="194"/>
      <c r="C186" s="195"/>
      <c r="D186" s="195"/>
      <c r="E186" s="195"/>
      <c r="F186" s="195"/>
      <c r="G186" s="196"/>
      <c r="H186" s="196"/>
      <c r="I186" s="196"/>
      <c r="J186" s="196"/>
      <c r="K186" s="197"/>
      <c r="L186" s="42">
        <v>35666900</v>
      </c>
      <c r="M186" s="44" t="s">
        <v>102</v>
      </c>
      <c r="N186" s="42">
        <v>5000000</v>
      </c>
      <c r="O186" s="44" t="s">
        <v>102</v>
      </c>
      <c r="P186" s="44" t="s">
        <v>104</v>
      </c>
      <c r="Q186" s="186"/>
      <c r="R186" s="42">
        <v>7000000</v>
      </c>
      <c r="S186" s="205">
        <v>2026000</v>
      </c>
      <c r="T186" s="205">
        <v>2018000</v>
      </c>
      <c r="U186" s="44">
        <v>26000</v>
      </c>
      <c r="V186" s="44">
        <v>15000</v>
      </c>
      <c r="W186" s="205">
        <v>3025000</v>
      </c>
      <c r="X186" s="205">
        <v>3019000</v>
      </c>
      <c r="Y186" s="106"/>
      <c r="Z186" s="106"/>
      <c r="AA186" s="106"/>
      <c r="AB186" s="106"/>
      <c r="AD186" s="104" t="s">
        <v>8</v>
      </c>
      <c r="AE186" s="9">
        <f ca="1">AnzahlBackgroundColor(B186:X186)</f>
        <v>3</v>
      </c>
      <c r="AF186" s="16">
        <f t="shared" ca="1" si="51"/>
        <v>7</v>
      </c>
      <c r="AG186">
        <f ca="1">AE186/AF186*100</f>
        <v>42.857142857142854</v>
      </c>
      <c r="AH186">
        <f ca="1">AE186*2</f>
        <v>6</v>
      </c>
      <c r="AJ186">
        <f t="shared" si="38"/>
        <v>27</v>
      </c>
    </row>
    <row r="187" spans="1:36" x14ac:dyDescent="0.2">
      <c r="C187" s="4"/>
      <c r="D187" s="4"/>
      <c r="E187" s="4"/>
      <c r="F187" s="4"/>
      <c r="G187" s="4"/>
      <c r="H187" s="4"/>
      <c r="I187" s="4"/>
      <c r="J187" s="4"/>
      <c r="K187" s="4"/>
      <c r="L187" s="122" t="s">
        <v>117</v>
      </c>
      <c r="M187" s="4"/>
      <c r="N187" s="4"/>
      <c r="O187" s="4"/>
      <c r="P187" s="4"/>
      <c r="AD187" s="104" t="s">
        <v>75</v>
      </c>
      <c r="AE187" s="19">
        <f ca="1" xml:space="preserve"> AE179+AE180+AE181+AE182+AE183+AE184+AE185+AE186</f>
        <v>7</v>
      </c>
      <c r="AF187" s="19">
        <f ca="1" xml:space="preserve"> AF179+AF180+AF181+AF182+AF183+AF184+AF185+AF186</f>
        <v>41</v>
      </c>
      <c r="AG187" s="19">
        <f t="shared" ref="AG187" ca="1" si="53">AE187/AF187*100</f>
        <v>17.073170731707318</v>
      </c>
      <c r="AH187" s="19">
        <f ca="1" xml:space="preserve"> AH179+AH180+AH181+AH182+AH183+AH184+AH185+AH186</f>
        <v>7.8</v>
      </c>
      <c r="AJ187">
        <f t="shared" si="38"/>
        <v>27</v>
      </c>
    </row>
    <row r="188" spans="1:36" x14ac:dyDescent="0.2">
      <c r="B188" s="1" t="s">
        <v>12</v>
      </c>
      <c r="C188" s="1" t="s">
        <v>12</v>
      </c>
      <c r="D188" s="1" t="s">
        <v>12</v>
      </c>
      <c r="E188" s="1" t="s">
        <v>12</v>
      </c>
      <c r="F188" s="1" t="s">
        <v>12</v>
      </c>
      <c r="G188" s="1" t="s">
        <v>12</v>
      </c>
      <c r="H188" s="1" t="s">
        <v>12</v>
      </c>
      <c r="I188" s="1" t="s">
        <v>12</v>
      </c>
      <c r="J188" s="1" t="s">
        <v>12</v>
      </c>
      <c r="K188" s="1" t="s">
        <v>12</v>
      </c>
      <c r="L188" s="1" t="s">
        <v>12</v>
      </c>
      <c r="M188" s="1" t="s">
        <v>12</v>
      </c>
      <c r="N188" s="1" t="s">
        <v>12</v>
      </c>
      <c r="O188" s="1" t="s">
        <v>12</v>
      </c>
      <c r="P188" s="1" t="s">
        <v>12</v>
      </c>
      <c r="Q188" s="1" t="s">
        <v>12</v>
      </c>
      <c r="R188" s="1" t="s">
        <v>12</v>
      </c>
      <c r="S188" s="1" t="s">
        <v>12</v>
      </c>
      <c r="T188" s="1" t="s">
        <v>12</v>
      </c>
      <c r="U188" s="1" t="s">
        <v>12</v>
      </c>
      <c r="V188" s="1" t="s">
        <v>12</v>
      </c>
      <c r="W188" s="1" t="s">
        <v>12</v>
      </c>
      <c r="X188" s="1" t="s">
        <v>12</v>
      </c>
      <c r="Y188" s="1" t="s">
        <v>12</v>
      </c>
      <c r="Z188" s="1" t="s">
        <v>12</v>
      </c>
      <c r="AA188" s="1" t="s">
        <v>12</v>
      </c>
      <c r="AB188" s="1" t="s">
        <v>12</v>
      </c>
      <c r="AJ188">
        <f t="shared" si="38"/>
        <v>27</v>
      </c>
    </row>
    <row r="189" spans="1:36" x14ac:dyDescent="0.2">
      <c r="B189" s="4">
        <v>1999</v>
      </c>
      <c r="C189" s="4">
        <v>2000</v>
      </c>
      <c r="D189" s="4">
        <v>2001</v>
      </c>
      <c r="E189" s="4">
        <v>2002</v>
      </c>
      <c r="F189" s="4">
        <v>2003</v>
      </c>
      <c r="G189" s="4">
        <v>2004</v>
      </c>
      <c r="H189" s="4">
        <v>2005</v>
      </c>
      <c r="I189" s="4">
        <v>2006</v>
      </c>
      <c r="J189" s="4">
        <v>2007</v>
      </c>
      <c r="K189" s="4">
        <v>2008</v>
      </c>
      <c r="L189" s="4">
        <v>2009</v>
      </c>
      <c r="M189" s="4">
        <v>2010</v>
      </c>
      <c r="N189" s="4">
        <v>2011</v>
      </c>
      <c r="O189" s="4">
        <v>2012</v>
      </c>
      <c r="P189" s="4">
        <v>2013</v>
      </c>
      <c r="Q189" s="4">
        <v>2014</v>
      </c>
      <c r="R189" s="4">
        <v>2015</v>
      </c>
      <c r="S189" s="4">
        <v>2016</v>
      </c>
      <c r="T189" s="4">
        <v>2017</v>
      </c>
      <c r="U189" s="4">
        <v>2018</v>
      </c>
      <c r="V189" s="4">
        <v>2019</v>
      </c>
      <c r="W189" s="4">
        <v>2020</v>
      </c>
      <c r="X189" s="4">
        <v>2021</v>
      </c>
      <c r="Y189" s="4">
        <v>2022</v>
      </c>
      <c r="Z189" s="4">
        <v>2023</v>
      </c>
      <c r="AA189" s="4">
        <v>2024</v>
      </c>
      <c r="AB189" s="4">
        <v>2025</v>
      </c>
      <c r="AE189" t="s">
        <v>73</v>
      </c>
      <c r="AF189" s="4" t="s">
        <v>74</v>
      </c>
      <c r="AG189" s="4" t="s">
        <v>77</v>
      </c>
      <c r="AH189" t="s">
        <v>78</v>
      </c>
      <c r="AJ189">
        <f t="shared" si="38"/>
        <v>27</v>
      </c>
    </row>
    <row r="190" spans="1:36" x14ac:dyDescent="0.2">
      <c r="A190" s="104" t="s">
        <v>1</v>
      </c>
      <c r="B190" s="187"/>
      <c r="C190" s="188"/>
      <c r="D190" s="188"/>
      <c r="E190" s="188"/>
      <c r="F190" s="188"/>
      <c r="G190" s="188"/>
      <c r="H190" s="188"/>
      <c r="I190" s="198"/>
      <c r="J190" s="43">
        <v>44600000</v>
      </c>
      <c r="K190" s="44" t="s">
        <v>102</v>
      </c>
      <c r="L190" s="42">
        <v>17900000</v>
      </c>
      <c r="M190" s="44" t="s">
        <v>102</v>
      </c>
      <c r="N190" s="44">
        <v>15000</v>
      </c>
      <c r="O190" s="44">
        <v>15000</v>
      </c>
      <c r="P190" s="44">
        <v>15000</v>
      </c>
      <c r="Q190" s="44">
        <v>15000</v>
      </c>
      <c r="R190" s="43">
        <v>10000000</v>
      </c>
      <c r="S190" s="43">
        <v>25000000</v>
      </c>
      <c r="T190" s="44">
        <v>8000</v>
      </c>
      <c r="U190" s="43">
        <v>16000000</v>
      </c>
      <c r="V190" s="43">
        <v>3800000</v>
      </c>
      <c r="W190" s="44"/>
      <c r="X190" s="44"/>
      <c r="Y190" s="42"/>
      <c r="Z190" s="106"/>
      <c r="AA190" s="106"/>
      <c r="AB190" s="106"/>
      <c r="AD190" s="104" t="s">
        <v>1</v>
      </c>
      <c r="AE190" s="9">
        <f ca="1">AnzahlBackgroundColor(B190:AB190)</f>
        <v>2</v>
      </c>
      <c r="AF190" s="16">
        <f ca="1">AJ190-AnzahlBackgroundColor(B190:AB190)</f>
        <v>7</v>
      </c>
      <c r="AG190">
        <f ca="1">AE190/AF190*100</f>
        <v>28.571428571428569</v>
      </c>
      <c r="AH190">
        <f ca="1">AE190*0.01</f>
        <v>0.02</v>
      </c>
      <c r="AJ190">
        <f t="shared" si="38"/>
        <v>27</v>
      </c>
    </row>
    <row r="191" spans="1:36" x14ac:dyDescent="0.2">
      <c r="A191" s="104" t="s">
        <v>2</v>
      </c>
      <c r="B191" s="191"/>
      <c r="C191" s="186"/>
      <c r="D191" s="186"/>
      <c r="E191" s="186"/>
      <c r="F191" s="186"/>
      <c r="G191" s="186"/>
      <c r="H191" s="186"/>
      <c r="I191" s="199"/>
      <c r="J191" s="98">
        <v>44150000</v>
      </c>
      <c r="K191" s="44" t="s">
        <v>102</v>
      </c>
      <c r="L191" s="43">
        <v>12300000</v>
      </c>
      <c r="M191" s="44" t="s">
        <v>102</v>
      </c>
      <c r="N191" s="44">
        <v>15000</v>
      </c>
      <c r="O191" s="44">
        <v>15000</v>
      </c>
      <c r="P191" s="44">
        <v>15000</v>
      </c>
      <c r="Q191" s="44">
        <v>15000</v>
      </c>
      <c r="R191" s="110">
        <v>13500</v>
      </c>
      <c r="S191" s="110">
        <v>10500</v>
      </c>
      <c r="T191" s="44">
        <v>8000</v>
      </c>
      <c r="U191" s="98">
        <v>6000000</v>
      </c>
      <c r="V191" s="98">
        <v>22000000</v>
      </c>
      <c r="W191" s="110"/>
      <c r="X191" s="110"/>
      <c r="Y191" s="110"/>
      <c r="Z191" s="106"/>
      <c r="AA191" s="106"/>
      <c r="AB191" s="106"/>
      <c r="AD191" s="104" t="s">
        <v>2</v>
      </c>
      <c r="AE191" s="9">
        <f ca="1">AnzahlBackgroundColor(B191:AB191)</f>
        <v>0</v>
      </c>
      <c r="AF191" s="16">
        <f t="shared" ref="AF191:AF197" ca="1" si="54">AJ191-AnzahlBackgroundColor(B191:AB191)</f>
        <v>4</v>
      </c>
      <c r="AG191">
        <f t="shared" ref="AG191:AG196" ca="1" si="55">AE191/AF191*100</f>
        <v>0</v>
      </c>
      <c r="AH191">
        <f ca="1">AE191*0.02</f>
        <v>0</v>
      </c>
      <c r="AJ191">
        <f t="shared" si="38"/>
        <v>27</v>
      </c>
    </row>
    <row r="192" spans="1:36" x14ac:dyDescent="0.2">
      <c r="A192" s="104" t="s">
        <v>3</v>
      </c>
      <c r="B192" s="191"/>
      <c r="C192" s="186"/>
      <c r="D192" s="186"/>
      <c r="E192" s="186"/>
      <c r="F192" s="186"/>
      <c r="G192" s="186"/>
      <c r="H192" s="186"/>
      <c r="I192" s="199"/>
      <c r="J192" s="99">
        <v>43700000</v>
      </c>
      <c r="K192" s="44" t="s">
        <v>102</v>
      </c>
      <c r="L192" s="44" t="s">
        <v>102</v>
      </c>
      <c r="M192" s="44" t="s">
        <v>102</v>
      </c>
      <c r="N192" s="44">
        <v>15000</v>
      </c>
      <c r="O192" s="44">
        <v>15000</v>
      </c>
      <c r="P192" s="44">
        <v>15000</v>
      </c>
      <c r="Q192" s="44">
        <v>15000</v>
      </c>
      <c r="R192" s="110">
        <v>13500</v>
      </c>
      <c r="S192" s="110">
        <v>10500</v>
      </c>
      <c r="T192" s="44">
        <v>8000</v>
      </c>
      <c r="U192" s="110">
        <v>8000</v>
      </c>
      <c r="V192" s="98">
        <v>17000000</v>
      </c>
      <c r="W192" s="110"/>
      <c r="X192" s="110"/>
      <c r="Y192" s="110"/>
      <c r="Z192" s="106"/>
      <c r="AA192" s="106"/>
      <c r="AB192" s="106"/>
      <c r="AD192" s="104" t="s">
        <v>3</v>
      </c>
      <c r="AE192" s="9">
        <f ca="1">AnzahlBackgroundColor(B192:AB192)</f>
        <v>1</v>
      </c>
      <c r="AF192" s="16">
        <f t="shared" ca="1" si="54"/>
        <v>2</v>
      </c>
      <c r="AG192">
        <f t="shared" ca="1" si="55"/>
        <v>50</v>
      </c>
      <c r="AH192">
        <f ca="1">AE192*0.05</f>
        <v>0.05</v>
      </c>
      <c r="AJ192">
        <f t="shared" si="38"/>
        <v>27</v>
      </c>
    </row>
    <row r="193" spans="1:36" x14ac:dyDescent="0.2">
      <c r="A193" s="104" t="s">
        <v>4</v>
      </c>
      <c r="B193" s="191"/>
      <c r="C193" s="186"/>
      <c r="D193" s="186"/>
      <c r="E193" s="186"/>
      <c r="F193" s="186"/>
      <c r="G193" s="186"/>
      <c r="H193" s="186"/>
      <c r="I193" s="199"/>
      <c r="J193" s="99" t="s">
        <v>204</v>
      </c>
      <c r="K193" s="44" t="s">
        <v>102</v>
      </c>
      <c r="L193" s="44" t="s">
        <v>102</v>
      </c>
      <c r="M193" s="44" t="s">
        <v>102</v>
      </c>
      <c r="N193" s="44">
        <v>15000</v>
      </c>
      <c r="O193" s="44">
        <v>15000</v>
      </c>
      <c r="P193" s="44">
        <v>15000</v>
      </c>
      <c r="Q193" s="44">
        <v>15000</v>
      </c>
      <c r="R193" s="110">
        <v>13500</v>
      </c>
      <c r="S193" s="110">
        <v>10500</v>
      </c>
      <c r="T193" s="44">
        <v>8000</v>
      </c>
      <c r="U193" s="98">
        <v>3000000</v>
      </c>
      <c r="V193" s="98">
        <v>22000000</v>
      </c>
      <c r="W193" s="110"/>
      <c r="X193" s="110"/>
      <c r="Y193" s="110"/>
      <c r="Z193" s="106"/>
      <c r="AA193" s="106"/>
      <c r="AB193" s="106"/>
      <c r="AD193" s="104" t="s">
        <v>4</v>
      </c>
      <c r="AE193" s="9">
        <f ca="1">AnzahlBackgroundColor(B193:AB193)</f>
        <v>1</v>
      </c>
      <c r="AF193" s="16">
        <f t="shared" ca="1" si="54"/>
        <v>3</v>
      </c>
      <c r="AG193">
        <f t="shared" ca="1" si="55"/>
        <v>33.333333333333329</v>
      </c>
      <c r="AH193">
        <f ca="1">AE193*0.1</f>
        <v>0.1</v>
      </c>
      <c r="AJ193">
        <f t="shared" si="38"/>
        <v>27</v>
      </c>
    </row>
    <row r="194" spans="1:36" x14ac:dyDescent="0.2">
      <c r="A194" s="104" t="s">
        <v>5</v>
      </c>
      <c r="B194" s="191"/>
      <c r="C194" s="186"/>
      <c r="D194" s="186"/>
      <c r="E194" s="186"/>
      <c r="F194" s="186"/>
      <c r="G194" s="186"/>
      <c r="H194" s="186"/>
      <c r="I194" s="199"/>
      <c r="J194" s="99">
        <v>37150000</v>
      </c>
      <c r="K194" s="44" t="s">
        <v>102</v>
      </c>
      <c r="L194" s="44" t="s">
        <v>102</v>
      </c>
      <c r="M194" s="44" t="s">
        <v>102</v>
      </c>
      <c r="N194" s="44">
        <v>15000</v>
      </c>
      <c r="O194" s="44">
        <v>15000</v>
      </c>
      <c r="P194" s="44">
        <v>15000</v>
      </c>
      <c r="Q194" s="44">
        <v>15000</v>
      </c>
      <c r="R194" s="110">
        <v>13500</v>
      </c>
      <c r="S194" s="110">
        <v>10500</v>
      </c>
      <c r="T194" s="44">
        <v>8000</v>
      </c>
      <c r="U194" s="110">
        <v>8000</v>
      </c>
      <c r="V194" s="98">
        <v>8000000</v>
      </c>
      <c r="W194" s="110"/>
      <c r="X194" s="110"/>
      <c r="Y194" s="110"/>
      <c r="Z194" s="106"/>
      <c r="AA194" s="106"/>
      <c r="AB194" s="106"/>
      <c r="AD194" s="104" t="s">
        <v>5</v>
      </c>
      <c r="AE194" s="9">
        <f ca="1">AnzahlBackgroundColor(B194:AB194)</f>
        <v>1</v>
      </c>
      <c r="AF194" s="16">
        <f t="shared" ca="1" si="54"/>
        <v>2</v>
      </c>
      <c r="AG194">
        <f t="shared" ca="1" si="55"/>
        <v>50</v>
      </c>
      <c r="AH194">
        <f ca="1">AE194*0.2</f>
        <v>0.2</v>
      </c>
      <c r="AJ194">
        <f t="shared" si="38"/>
        <v>27</v>
      </c>
    </row>
    <row r="195" spans="1:36" x14ac:dyDescent="0.2">
      <c r="A195" s="104" t="s">
        <v>6</v>
      </c>
      <c r="B195" s="191"/>
      <c r="C195" s="186"/>
      <c r="D195" s="186"/>
      <c r="E195" s="186"/>
      <c r="F195" s="186"/>
      <c r="G195" s="186"/>
      <c r="H195" s="186"/>
      <c r="I195" s="199"/>
      <c r="J195" s="99">
        <v>32300000</v>
      </c>
      <c r="K195" s="44" t="s">
        <v>102</v>
      </c>
      <c r="L195" s="44" t="s">
        <v>102</v>
      </c>
      <c r="M195" s="44" t="s">
        <v>102</v>
      </c>
      <c r="N195" s="44">
        <v>15000</v>
      </c>
      <c r="O195" s="44">
        <v>15000</v>
      </c>
      <c r="P195" s="44">
        <v>15000</v>
      </c>
      <c r="Q195" s="44">
        <v>15000</v>
      </c>
      <c r="R195" s="110">
        <v>13500</v>
      </c>
      <c r="S195" s="110">
        <v>10500</v>
      </c>
      <c r="T195" s="44">
        <v>8000</v>
      </c>
      <c r="U195" s="110">
        <v>8000</v>
      </c>
      <c r="V195" s="110">
        <v>8000</v>
      </c>
      <c r="W195" s="110"/>
      <c r="X195" s="110"/>
      <c r="Y195" s="110"/>
      <c r="Z195" s="106"/>
      <c r="AA195" s="106"/>
      <c r="AB195" s="106"/>
      <c r="AD195" s="104" t="s">
        <v>6</v>
      </c>
      <c r="AE195" s="9">
        <f ca="1">AnzahlBackgroundColor(B195:AB195)</f>
        <v>1</v>
      </c>
      <c r="AF195" s="16">
        <f t="shared" ca="1" si="54"/>
        <v>1</v>
      </c>
      <c r="AG195">
        <f t="shared" ca="1" si="55"/>
        <v>100</v>
      </c>
      <c r="AH195">
        <f ca="1">AE195*0.5</f>
        <v>0.5</v>
      </c>
      <c r="AJ195">
        <f t="shared" si="38"/>
        <v>27</v>
      </c>
    </row>
    <row r="196" spans="1:36" x14ac:dyDescent="0.2">
      <c r="A196" s="104" t="s">
        <v>7</v>
      </c>
      <c r="B196" s="191"/>
      <c r="C196" s="186"/>
      <c r="D196" s="186"/>
      <c r="E196" s="186"/>
      <c r="F196" s="186"/>
      <c r="G196" s="186"/>
      <c r="H196" s="186"/>
      <c r="I196" s="199"/>
      <c r="J196" s="99">
        <v>29650000</v>
      </c>
      <c r="K196" s="44" t="s">
        <v>102</v>
      </c>
      <c r="L196" s="44" t="s">
        <v>102</v>
      </c>
      <c r="M196" s="44" t="s">
        <v>102</v>
      </c>
      <c r="N196" s="44">
        <v>15000</v>
      </c>
      <c r="O196" s="44">
        <v>15000</v>
      </c>
      <c r="P196" s="44">
        <v>15000</v>
      </c>
      <c r="Q196" s="44">
        <v>15000</v>
      </c>
      <c r="R196" s="110">
        <v>13500</v>
      </c>
      <c r="S196" s="110">
        <v>10500</v>
      </c>
      <c r="T196" s="44">
        <v>8000</v>
      </c>
      <c r="U196" s="110">
        <v>8000</v>
      </c>
      <c r="V196" s="110">
        <v>8000</v>
      </c>
      <c r="W196" s="110"/>
      <c r="X196" s="110"/>
      <c r="Y196" s="110"/>
      <c r="Z196" s="106"/>
      <c r="AA196" s="106"/>
      <c r="AB196" s="106"/>
      <c r="AD196" s="104" t="s">
        <v>7</v>
      </c>
      <c r="AE196" s="9">
        <f ca="1">AnzahlBackgroundColor(B196:AB196)</f>
        <v>1</v>
      </c>
      <c r="AF196" s="16">
        <f t="shared" ca="1" si="54"/>
        <v>1</v>
      </c>
      <c r="AG196">
        <f t="shared" ca="1" si="55"/>
        <v>100</v>
      </c>
      <c r="AH196">
        <f ca="1">AE196*1</f>
        <v>1</v>
      </c>
      <c r="AJ196">
        <f t="shared" ref="AJ196:AJ231" si="56">2025-1999+1</f>
        <v>27</v>
      </c>
    </row>
    <row r="197" spans="1:36" x14ac:dyDescent="0.2">
      <c r="A197" s="104" t="s">
        <v>8</v>
      </c>
      <c r="B197" s="194"/>
      <c r="C197" s="195"/>
      <c r="D197" s="195"/>
      <c r="E197" s="195"/>
      <c r="F197" s="195"/>
      <c r="G197" s="195"/>
      <c r="H197" s="195"/>
      <c r="I197" s="200"/>
      <c r="J197" s="99">
        <v>21250000</v>
      </c>
      <c r="K197" s="44" t="s">
        <v>102</v>
      </c>
      <c r="L197" s="44" t="s">
        <v>102</v>
      </c>
      <c r="M197" s="44" t="s">
        <v>102</v>
      </c>
      <c r="N197" s="44">
        <v>15000</v>
      </c>
      <c r="O197" s="44">
        <v>15000</v>
      </c>
      <c r="P197" s="44">
        <v>15000</v>
      </c>
      <c r="Q197" s="44">
        <v>15000</v>
      </c>
      <c r="R197" s="110">
        <v>13500</v>
      </c>
      <c r="S197" s="110">
        <v>10500</v>
      </c>
      <c r="T197" s="44">
        <v>8000</v>
      </c>
      <c r="U197" s="110">
        <v>8000</v>
      </c>
      <c r="V197" s="110">
        <v>8000</v>
      </c>
      <c r="W197" s="110"/>
      <c r="X197" s="110"/>
      <c r="Y197" s="110"/>
      <c r="Z197" s="106"/>
      <c r="AA197" s="106"/>
      <c r="AB197" s="106"/>
      <c r="AD197" s="104" t="s">
        <v>8</v>
      </c>
      <c r="AE197" s="9">
        <f ca="1">AnzahlBackgroundColor(B197:AB197)</f>
        <v>1</v>
      </c>
      <c r="AF197" s="16">
        <f t="shared" ca="1" si="54"/>
        <v>1</v>
      </c>
      <c r="AG197">
        <f ca="1">AE197/AF197*100</f>
        <v>100</v>
      </c>
      <c r="AH197">
        <f ca="1">AE197*2</f>
        <v>2</v>
      </c>
      <c r="AJ197">
        <f t="shared" si="56"/>
        <v>27</v>
      </c>
    </row>
    <row r="198" spans="1:36" x14ac:dyDescent="0.2">
      <c r="J198" s="122" t="s">
        <v>117</v>
      </c>
      <c r="AD198" s="104" t="s">
        <v>75</v>
      </c>
      <c r="AE198" s="19">
        <f ca="1" xml:space="preserve"> AE190+AE191+AE192+AE193+AE194+AE195+AE196+AE197</f>
        <v>8</v>
      </c>
      <c r="AF198" s="19">
        <f ca="1" xml:space="preserve"> AF190+AF191+AF192+AF193+AF194+AF195+AF196+AF197</f>
        <v>21</v>
      </c>
      <c r="AG198" s="19">
        <f t="shared" ref="AG198" ca="1" si="57">AE198/AF198*100</f>
        <v>38.095238095238095</v>
      </c>
      <c r="AH198" s="19">
        <f ca="1" xml:space="preserve"> AH190+AH191+AH192+AH193+AH194+AH195+AH196+AH197</f>
        <v>3.87</v>
      </c>
      <c r="AJ198">
        <f t="shared" si="56"/>
        <v>27</v>
      </c>
    </row>
    <row r="199" spans="1:36" x14ac:dyDescent="0.2">
      <c r="B199" s="1" t="s">
        <v>59</v>
      </c>
      <c r="C199" s="1" t="s">
        <v>59</v>
      </c>
      <c r="D199" s="1" t="s">
        <v>59</v>
      </c>
      <c r="E199" s="1" t="s">
        <v>59</v>
      </c>
      <c r="F199" s="1" t="s">
        <v>59</v>
      </c>
      <c r="G199" s="1" t="s">
        <v>59</v>
      </c>
      <c r="H199" s="1" t="s">
        <v>59</v>
      </c>
      <c r="I199" s="1" t="s">
        <v>59</v>
      </c>
      <c r="J199" s="1" t="s">
        <v>59</v>
      </c>
      <c r="K199" s="1" t="s">
        <v>59</v>
      </c>
      <c r="L199" s="1" t="s">
        <v>59</v>
      </c>
      <c r="M199" s="1" t="s">
        <v>59</v>
      </c>
      <c r="N199" s="1" t="s">
        <v>59</v>
      </c>
      <c r="O199" s="1" t="s">
        <v>59</v>
      </c>
      <c r="P199" s="1" t="s">
        <v>59</v>
      </c>
      <c r="Q199" s="1" t="s">
        <v>59</v>
      </c>
      <c r="R199" s="1" t="s">
        <v>59</v>
      </c>
      <c r="S199" s="1" t="s">
        <v>59</v>
      </c>
      <c r="T199" s="1" t="s">
        <v>59</v>
      </c>
      <c r="U199" s="1" t="s">
        <v>59</v>
      </c>
      <c r="V199" s="1" t="s">
        <v>59</v>
      </c>
      <c r="W199" s="1" t="s">
        <v>59</v>
      </c>
      <c r="X199" s="1" t="s">
        <v>59</v>
      </c>
      <c r="Y199" s="1" t="s">
        <v>59</v>
      </c>
      <c r="Z199" s="1" t="s">
        <v>59</v>
      </c>
      <c r="AA199" s="1" t="s">
        <v>59</v>
      </c>
      <c r="AB199" s="1" t="s">
        <v>59</v>
      </c>
      <c r="AJ199">
        <f t="shared" si="56"/>
        <v>27</v>
      </c>
    </row>
    <row r="200" spans="1:36" x14ac:dyDescent="0.2">
      <c r="B200" s="4">
        <v>1999</v>
      </c>
      <c r="C200" s="4">
        <v>2000</v>
      </c>
      <c r="D200" s="4">
        <v>2001</v>
      </c>
      <c r="E200" s="4">
        <v>2002</v>
      </c>
      <c r="F200" s="4">
        <v>2003</v>
      </c>
      <c r="G200" s="4">
        <v>2004</v>
      </c>
      <c r="H200" s="4">
        <v>2005</v>
      </c>
      <c r="I200" s="4">
        <v>2006</v>
      </c>
      <c r="J200" s="4">
        <v>2007</v>
      </c>
      <c r="K200" s="4">
        <v>2008</v>
      </c>
      <c r="L200" s="4">
        <v>2009</v>
      </c>
      <c r="M200" s="4">
        <v>2010</v>
      </c>
      <c r="N200" s="4">
        <v>2011</v>
      </c>
      <c r="O200" s="4">
        <v>2012</v>
      </c>
      <c r="P200" s="4">
        <v>2013</v>
      </c>
      <c r="Q200" s="4">
        <v>2014</v>
      </c>
      <c r="R200" s="4">
        <v>2015</v>
      </c>
      <c r="S200" s="4">
        <v>2016</v>
      </c>
      <c r="T200" s="4">
        <v>2017</v>
      </c>
      <c r="U200" s="4">
        <v>2018</v>
      </c>
      <c r="V200" s="4">
        <v>2019</v>
      </c>
      <c r="W200" s="4">
        <v>2020</v>
      </c>
      <c r="X200" s="4">
        <v>2021</v>
      </c>
      <c r="Y200" s="4">
        <v>2022</v>
      </c>
      <c r="Z200" s="4">
        <v>2023</v>
      </c>
      <c r="AA200" s="4">
        <v>2024</v>
      </c>
      <c r="AB200" s="4">
        <v>2025</v>
      </c>
      <c r="AE200" t="s">
        <v>73</v>
      </c>
      <c r="AF200" s="4" t="s">
        <v>74</v>
      </c>
      <c r="AG200" s="4" t="s">
        <v>77</v>
      </c>
      <c r="AH200" t="s">
        <v>78</v>
      </c>
      <c r="AJ200">
        <f t="shared" si="56"/>
        <v>27</v>
      </c>
    </row>
    <row r="201" spans="1:36" x14ac:dyDescent="0.2">
      <c r="A201" s="104" t="s">
        <v>1</v>
      </c>
      <c r="B201" s="42">
        <v>720950970</v>
      </c>
      <c r="C201" s="43">
        <v>83350400</v>
      </c>
      <c r="D201" s="42">
        <v>130850574</v>
      </c>
      <c r="E201" s="42">
        <v>140977699</v>
      </c>
      <c r="F201" s="42">
        <v>670331790</v>
      </c>
      <c r="G201" s="42">
        <v>206657000</v>
      </c>
      <c r="H201" s="42">
        <v>444147077</v>
      </c>
      <c r="I201" s="42">
        <v>383850004</v>
      </c>
      <c r="J201" s="43">
        <v>383958434</v>
      </c>
      <c r="K201" s="42">
        <v>374556940</v>
      </c>
      <c r="L201" s="42">
        <v>131427500</v>
      </c>
      <c r="M201" s="42">
        <v>227330000</v>
      </c>
      <c r="N201" s="42">
        <v>339340200</v>
      </c>
      <c r="O201" s="42">
        <v>400572000</v>
      </c>
      <c r="P201" s="42">
        <v>297500000</v>
      </c>
      <c r="Q201" s="43">
        <v>64900000</v>
      </c>
      <c r="R201" s="43">
        <v>460900000</v>
      </c>
      <c r="S201" s="42">
        <v>423100000</v>
      </c>
      <c r="T201" s="42">
        <v>519600000</v>
      </c>
      <c r="U201" s="42">
        <v>317900000</v>
      </c>
      <c r="V201" s="43">
        <v>309800000</v>
      </c>
      <c r="W201" s="186"/>
      <c r="X201" s="186"/>
      <c r="Y201" s="106"/>
      <c r="Z201" s="106"/>
      <c r="AA201" s="106"/>
      <c r="AB201" s="106"/>
      <c r="AD201" s="104" t="s">
        <v>1</v>
      </c>
      <c r="AE201" s="9">
        <f ca="1">AnzahlBackgroundColor(B201:AB201)</f>
        <v>16</v>
      </c>
      <c r="AF201" s="16">
        <f ca="1">AJ201-AnzahlBackgroundColor(B201:AB201)</f>
        <v>21</v>
      </c>
      <c r="AG201">
        <f ca="1">AE201/AF201*100</f>
        <v>76.19047619047619</v>
      </c>
      <c r="AH201">
        <f ca="1">AE201*0.01</f>
        <v>0.16</v>
      </c>
      <c r="AJ201">
        <f t="shared" si="56"/>
        <v>27</v>
      </c>
    </row>
    <row r="202" spans="1:36" x14ac:dyDescent="0.2">
      <c r="A202" s="104" t="s">
        <v>2</v>
      </c>
      <c r="B202" s="42">
        <v>291650970</v>
      </c>
      <c r="C202" s="42">
        <v>711250400</v>
      </c>
      <c r="D202" s="42">
        <v>463050574</v>
      </c>
      <c r="E202" s="43">
        <v>3977699</v>
      </c>
      <c r="F202" s="43">
        <v>31431790</v>
      </c>
      <c r="G202" s="43">
        <v>206657000</v>
      </c>
      <c r="H202" s="42">
        <v>275047077</v>
      </c>
      <c r="I202" s="42">
        <v>262150004</v>
      </c>
      <c r="J202" s="42">
        <v>185258434</v>
      </c>
      <c r="K202" s="42">
        <v>191256940</v>
      </c>
      <c r="L202" s="42">
        <v>164027500</v>
      </c>
      <c r="M202" s="42">
        <v>153130000</v>
      </c>
      <c r="N202" s="42">
        <v>96540200</v>
      </c>
      <c r="O202" s="42">
        <v>99572000</v>
      </c>
      <c r="P202" s="42">
        <v>200600000</v>
      </c>
      <c r="Q202" s="43">
        <v>19400000</v>
      </c>
      <c r="R202" s="43">
        <v>159000000</v>
      </c>
      <c r="S202" s="42">
        <v>229900000</v>
      </c>
      <c r="T202" s="42">
        <v>311800000</v>
      </c>
      <c r="U202" s="42">
        <v>233100000</v>
      </c>
      <c r="V202" s="43">
        <v>201000000</v>
      </c>
      <c r="W202" s="186"/>
      <c r="X202" s="186"/>
      <c r="Y202" s="106"/>
      <c r="Z202" s="106"/>
      <c r="AA202" s="106"/>
      <c r="AB202" s="106"/>
      <c r="AD202" s="104" t="s">
        <v>2</v>
      </c>
      <c r="AE202" s="9">
        <f ca="1">AnzahlBackgroundColor(B202:AB202)</f>
        <v>15</v>
      </c>
      <c r="AF202" s="16">
        <f t="shared" ref="AF202:AF208" ca="1" si="58">AJ202-AnzahlBackgroundColor(B202:AB202)</f>
        <v>21</v>
      </c>
      <c r="AG202">
        <f t="shared" ref="AG202:AG207" ca="1" si="59">AE202/AF202*100</f>
        <v>71.428571428571431</v>
      </c>
      <c r="AH202">
        <f ca="1">AE202*0.02</f>
        <v>0.3</v>
      </c>
      <c r="AJ202">
        <f t="shared" si="56"/>
        <v>27</v>
      </c>
    </row>
    <row r="203" spans="1:36" x14ac:dyDescent="0.2">
      <c r="A203" s="104" t="s">
        <v>3</v>
      </c>
      <c r="B203" s="42">
        <v>483450970</v>
      </c>
      <c r="C203" s="42">
        <v>399850400</v>
      </c>
      <c r="D203" s="42">
        <v>216050574</v>
      </c>
      <c r="E203" s="43">
        <v>8177699</v>
      </c>
      <c r="F203" s="42">
        <v>327431790</v>
      </c>
      <c r="G203" s="42">
        <v>258657000</v>
      </c>
      <c r="H203" s="42">
        <v>411347077</v>
      </c>
      <c r="I203" s="43">
        <v>142750004</v>
      </c>
      <c r="J203" s="42">
        <v>247058434</v>
      </c>
      <c r="K203" s="42">
        <v>239056940</v>
      </c>
      <c r="L203" s="42">
        <v>219727500</v>
      </c>
      <c r="M203" s="42">
        <v>203130000</v>
      </c>
      <c r="N203" s="42">
        <v>97140200</v>
      </c>
      <c r="O203" s="42">
        <v>49772000</v>
      </c>
      <c r="P203" s="43">
        <v>9800000</v>
      </c>
      <c r="Q203" s="42">
        <v>119900000</v>
      </c>
      <c r="R203" s="42">
        <v>55300000</v>
      </c>
      <c r="S203" s="42">
        <v>271000000</v>
      </c>
      <c r="T203" s="42">
        <v>249800000</v>
      </c>
      <c r="U203" s="42">
        <v>222000000</v>
      </c>
      <c r="V203" s="43">
        <v>227100000</v>
      </c>
      <c r="W203" s="186"/>
      <c r="X203" s="186"/>
      <c r="Y203" s="106"/>
      <c r="Z203" s="106"/>
      <c r="AA203" s="106"/>
      <c r="AB203" s="106"/>
      <c r="AD203" s="104" t="s">
        <v>3</v>
      </c>
      <c r="AE203" s="9">
        <f ca="1">AnzahlBackgroundColor(B203:AB203)</f>
        <v>17</v>
      </c>
      <c r="AF203" s="16">
        <f t="shared" ca="1" si="58"/>
        <v>21</v>
      </c>
      <c r="AG203">
        <f t="shared" ca="1" si="59"/>
        <v>80.952380952380949</v>
      </c>
      <c r="AH203">
        <f ca="1">AE203*0.05</f>
        <v>0.85000000000000009</v>
      </c>
      <c r="AJ203">
        <f t="shared" si="56"/>
        <v>27</v>
      </c>
    </row>
    <row r="204" spans="1:36" x14ac:dyDescent="0.2">
      <c r="A204" s="104" t="s">
        <v>4</v>
      </c>
      <c r="B204" s="42">
        <v>588050970</v>
      </c>
      <c r="C204" s="42">
        <v>243850400</v>
      </c>
      <c r="D204" s="42">
        <v>160050574</v>
      </c>
      <c r="E204" s="42">
        <v>112977699</v>
      </c>
      <c r="F204" s="42">
        <v>292331790</v>
      </c>
      <c r="G204" s="42">
        <v>121857000</v>
      </c>
      <c r="H204" s="42">
        <v>321247077</v>
      </c>
      <c r="I204" s="42">
        <v>91750004</v>
      </c>
      <c r="J204" s="42">
        <v>132058434</v>
      </c>
      <c r="K204" s="42">
        <v>142256940</v>
      </c>
      <c r="L204" s="42">
        <v>151327500</v>
      </c>
      <c r="M204" s="42">
        <v>104930000</v>
      </c>
      <c r="N204" s="43">
        <v>4440200</v>
      </c>
      <c r="O204" s="43">
        <v>3672000</v>
      </c>
      <c r="P204" s="43">
        <v>3300000</v>
      </c>
      <c r="Q204" s="42">
        <v>79900000</v>
      </c>
      <c r="R204" s="43">
        <v>39000000</v>
      </c>
      <c r="S204" s="43">
        <v>66900000</v>
      </c>
      <c r="T204" s="42">
        <v>134600000</v>
      </c>
      <c r="U204" s="43">
        <v>71100000</v>
      </c>
      <c r="V204" s="43">
        <v>55000000</v>
      </c>
      <c r="W204" s="186"/>
      <c r="X204" s="186"/>
      <c r="Y204" s="106"/>
      <c r="Z204" s="106"/>
      <c r="AA204" s="106"/>
      <c r="AB204" s="106"/>
      <c r="AD204" s="104" t="s">
        <v>4</v>
      </c>
      <c r="AE204" s="9">
        <f ca="1">AnzahlBackgroundColor(B204:AB204)</f>
        <v>14</v>
      </c>
      <c r="AF204" s="16">
        <f t="shared" ca="1" si="58"/>
        <v>21</v>
      </c>
      <c r="AG204">
        <f t="shared" ca="1" si="59"/>
        <v>66.666666666666657</v>
      </c>
      <c r="AH204">
        <f ca="1">AE204*0.1</f>
        <v>1.4000000000000001</v>
      </c>
      <c r="AJ204">
        <f t="shared" si="56"/>
        <v>27</v>
      </c>
    </row>
    <row r="205" spans="1:36" x14ac:dyDescent="0.2">
      <c r="A205" s="104" t="s">
        <v>5</v>
      </c>
      <c r="B205" s="42">
        <v>762250970</v>
      </c>
      <c r="C205" s="42">
        <v>29250400</v>
      </c>
      <c r="D205" s="42">
        <v>146550574</v>
      </c>
      <c r="E205" s="42">
        <v>91377699</v>
      </c>
      <c r="F205" s="43">
        <v>3931790</v>
      </c>
      <c r="G205" s="43">
        <v>3857000</v>
      </c>
      <c r="H205" s="43">
        <v>3947077</v>
      </c>
      <c r="I205" s="42">
        <v>101950004</v>
      </c>
      <c r="J205" s="42">
        <v>46458434</v>
      </c>
      <c r="K205" s="42">
        <v>102256940</v>
      </c>
      <c r="L205" s="42">
        <v>75327500</v>
      </c>
      <c r="M205" s="43">
        <v>3830000</v>
      </c>
      <c r="N205" s="43">
        <v>3940200</v>
      </c>
      <c r="O205" s="42">
        <v>26272000</v>
      </c>
      <c r="P205" s="43">
        <v>4000000</v>
      </c>
      <c r="Q205" s="43">
        <v>29600000</v>
      </c>
      <c r="R205" s="43">
        <v>4000000</v>
      </c>
      <c r="S205" s="43">
        <v>65800000</v>
      </c>
      <c r="T205" s="43">
        <v>112500000</v>
      </c>
      <c r="U205" s="42">
        <v>119500000</v>
      </c>
      <c r="V205" s="42">
        <v>130700000</v>
      </c>
      <c r="W205" s="186"/>
      <c r="X205" s="186"/>
      <c r="Y205" s="106"/>
      <c r="Z205" s="106"/>
      <c r="AA205" s="106"/>
      <c r="AB205" s="106"/>
      <c r="AD205" s="104" t="s">
        <v>5</v>
      </c>
      <c r="AE205" s="9">
        <f ca="1">AnzahlBackgroundColor(B205:AB205)</f>
        <v>11</v>
      </c>
      <c r="AF205" s="16">
        <f t="shared" ca="1" si="58"/>
        <v>21</v>
      </c>
      <c r="AG205">
        <f t="shared" ca="1" si="59"/>
        <v>52.380952380952387</v>
      </c>
      <c r="AH205">
        <f ca="1">AE205*0.2</f>
        <v>2.2000000000000002</v>
      </c>
      <c r="AJ205">
        <f t="shared" si="56"/>
        <v>27</v>
      </c>
    </row>
    <row r="206" spans="1:36" x14ac:dyDescent="0.2">
      <c r="A206" s="104" t="s">
        <v>6</v>
      </c>
      <c r="B206" s="42">
        <v>370950970</v>
      </c>
      <c r="C206" s="42">
        <v>519550400</v>
      </c>
      <c r="D206" s="42">
        <v>351050574</v>
      </c>
      <c r="E206" s="43">
        <v>9677699</v>
      </c>
      <c r="F206" s="43">
        <v>5831790</v>
      </c>
      <c r="G206" s="43">
        <v>4357000</v>
      </c>
      <c r="H206" s="42">
        <v>3847077</v>
      </c>
      <c r="I206" s="43">
        <v>3950004</v>
      </c>
      <c r="J206" s="42">
        <v>3958434</v>
      </c>
      <c r="K206" s="43">
        <v>3956940</v>
      </c>
      <c r="L206" s="43">
        <v>3927500</v>
      </c>
      <c r="M206" s="43">
        <v>3930000</v>
      </c>
      <c r="N206" s="43">
        <v>4040200</v>
      </c>
      <c r="O206" s="43">
        <v>4072000</v>
      </c>
      <c r="P206" s="42">
        <v>4000000</v>
      </c>
      <c r="Q206" s="42">
        <v>3800000</v>
      </c>
      <c r="R206" s="43">
        <v>4000000</v>
      </c>
      <c r="S206" s="42">
        <v>44700000</v>
      </c>
      <c r="T206" s="43">
        <v>19000000</v>
      </c>
      <c r="U206" s="43">
        <v>19500000</v>
      </c>
      <c r="V206" s="43">
        <v>64500000</v>
      </c>
      <c r="W206" s="9"/>
      <c r="X206" s="186"/>
      <c r="Y206" s="106"/>
      <c r="Z206" s="106"/>
      <c r="AA206" s="106"/>
      <c r="AB206" s="106"/>
      <c r="AD206" s="104" t="s">
        <v>6</v>
      </c>
      <c r="AE206" s="9">
        <f ca="1">AnzahlBackgroundColor(B206:AB206)</f>
        <v>9</v>
      </c>
      <c r="AF206" s="16">
        <f t="shared" ca="1" si="58"/>
        <v>22</v>
      </c>
      <c r="AG206">
        <f t="shared" ca="1" si="59"/>
        <v>40.909090909090914</v>
      </c>
      <c r="AH206">
        <f ca="1">AE206*0.5</f>
        <v>4.5</v>
      </c>
      <c r="AJ206">
        <f t="shared" si="56"/>
        <v>27</v>
      </c>
    </row>
    <row r="207" spans="1:36" x14ac:dyDescent="0.2">
      <c r="A207" s="104" t="s">
        <v>7</v>
      </c>
      <c r="B207" s="42">
        <v>100150970</v>
      </c>
      <c r="C207" s="42">
        <v>89250400</v>
      </c>
      <c r="D207" s="42">
        <v>259050574</v>
      </c>
      <c r="E207" s="42">
        <v>335477699</v>
      </c>
      <c r="F207" s="42">
        <v>297231790</v>
      </c>
      <c r="G207" s="42">
        <v>98657000</v>
      </c>
      <c r="H207" s="42">
        <v>77747077</v>
      </c>
      <c r="I207" s="42">
        <v>101550004</v>
      </c>
      <c r="J207" s="42">
        <v>150558434</v>
      </c>
      <c r="K207" s="42">
        <v>154356940</v>
      </c>
      <c r="L207" s="42">
        <v>60527500</v>
      </c>
      <c r="M207" s="42">
        <v>40030000</v>
      </c>
      <c r="N207" s="42">
        <v>100540200</v>
      </c>
      <c r="O207" s="42">
        <v>3372000</v>
      </c>
      <c r="P207" s="42">
        <v>4000000</v>
      </c>
      <c r="Q207" s="42">
        <v>15300000</v>
      </c>
      <c r="R207" s="43">
        <v>4000000</v>
      </c>
      <c r="S207" s="42">
        <v>92200000</v>
      </c>
      <c r="T207" s="42">
        <v>122700000</v>
      </c>
      <c r="U207" s="42">
        <v>107200000</v>
      </c>
      <c r="V207" s="42">
        <v>116300000</v>
      </c>
      <c r="W207" s="186"/>
      <c r="X207" s="9"/>
      <c r="Y207" s="106"/>
      <c r="Z207" s="106"/>
      <c r="AA207" s="106"/>
      <c r="AB207" s="106"/>
      <c r="AD207" s="104" t="s">
        <v>7</v>
      </c>
      <c r="AE207" s="9">
        <f ca="1">AnzahlBackgroundColor(B207:AB207)</f>
        <v>21</v>
      </c>
      <c r="AF207" s="16">
        <f t="shared" ca="1" si="58"/>
        <v>22</v>
      </c>
      <c r="AG207">
        <f t="shared" ca="1" si="59"/>
        <v>95.454545454545453</v>
      </c>
      <c r="AH207">
        <f ca="1">AE207*1</f>
        <v>21</v>
      </c>
      <c r="AJ207">
        <f t="shared" si="56"/>
        <v>27</v>
      </c>
    </row>
    <row r="208" spans="1:36" x14ac:dyDescent="0.2">
      <c r="A208" s="104" t="s">
        <v>8</v>
      </c>
      <c r="B208" s="42">
        <v>60450970</v>
      </c>
      <c r="C208" s="43">
        <v>36550400</v>
      </c>
      <c r="D208" s="42">
        <v>140150574</v>
      </c>
      <c r="E208" s="42">
        <v>163877699</v>
      </c>
      <c r="F208" s="42">
        <v>44331790</v>
      </c>
      <c r="G208" s="43">
        <v>4057000</v>
      </c>
      <c r="H208" s="43">
        <v>3947077</v>
      </c>
      <c r="I208" s="43">
        <v>3950004</v>
      </c>
      <c r="J208" s="43">
        <v>3958434</v>
      </c>
      <c r="K208" s="42">
        <v>19456940</v>
      </c>
      <c r="L208" s="42">
        <v>17427500</v>
      </c>
      <c r="M208" s="42">
        <v>3930000</v>
      </c>
      <c r="N208" s="43">
        <v>4040200</v>
      </c>
      <c r="O208" s="43">
        <v>4072000</v>
      </c>
      <c r="P208" s="43">
        <v>4000000</v>
      </c>
      <c r="Q208" s="42">
        <v>3600000</v>
      </c>
      <c r="R208" s="43">
        <v>3900000</v>
      </c>
      <c r="S208" s="43">
        <v>4700000</v>
      </c>
      <c r="T208" s="44">
        <v>500000</v>
      </c>
      <c r="U208" s="44">
        <v>300000</v>
      </c>
      <c r="V208" s="44">
        <v>500000</v>
      </c>
      <c r="W208" s="186"/>
      <c r="X208" s="186"/>
      <c r="Y208" s="106"/>
      <c r="Z208" s="106"/>
      <c r="AA208" s="106"/>
      <c r="AB208" s="106"/>
      <c r="AD208" s="104" t="s">
        <v>8</v>
      </c>
      <c r="AE208" s="9">
        <f ca="1">AnzahlBackgroundColor(B208:AB208)</f>
        <v>8</v>
      </c>
      <c r="AF208" s="16">
        <f t="shared" ca="1" si="58"/>
        <v>18</v>
      </c>
      <c r="AG208">
        <f ca="1">AE208/AF208*100</f>
        <v>44.444444444444443</v>
      </c>
      <c r="AH208">
        <f ca="1">AE208*2</f>
        <v>16</v>
      </c>
      <c r="AJ208">
        <f t="shared" si="56"/>
        <v>27</v>
      </c>
    </row>
    <row r="209" spans="1:36" x14ac:dyDescent="0.2">
      <c r="B209" s="121" t="s">
        <v>116</v>
      </c>
      <c r="C209" s="122" t="s">
        <v>117</v>
      </c>
      <c r="D209" s="122" t="s">
        <v>117</v>
      </c>
      <c r="E209" s="122" t="s">
        <v>117</v>
      </c>
      <c r="AD209" s="104" t="s">
        <v>75</v>
      </c>
      <c r="AE209" s="19">
        <f ca="1" xml:space="preserve"> AE201+AE202+AE203+AE204+AE205+AE206+AE207+AE208</f>
        <v>111</v>
      </c>
      <c r="AF209" s="19">
        <f ca="1" xml:space="preserve"> AF201+AF202+AF203+AF204+AF205+AF206+AF207+AF208</f>
        <v>167</v>
      </c>
      <c r="AG209" s="19">
        <f t="shared" ref="AG209" ca="1" si="60">AE209/AF209*100</f>
        <v>66.467065868263475</v>
      </c>
      <c r="AH209" s="19">
        <f ca="1" xml:space="preserve"> AH201+AH202+AH203+AH204+AH205+AH206+AH207+AH208</f>
        <v>46.41</v>
      </c>
      <c r="AJ209">
        <f t="shared" si="56"/>
        <v>27</v>
      </c>
    </row>
    <row r="210" spans="1:36" x14ac:dyDescent="0.2">
      <c r="B210" s="1" t="s">
        <v>192</v>
      </c>
      <c r="C210" s="1" t="s">
        <v>192</v>
      </c>
      <c r="D210" s="1" t="s">
        <v>192</v>
      </c>
      <c r="E210" s="1" t="s">
        <v>192</v>
      </c>
      <c r="F210" s="1" t="s">
        <v>192</v>
      </c>
      <c r="G210" s="1" t="s">
        <v>192</v>
      </c>
      <c r="H210" s="1" t="s">
        <v>192</v>
      </c>
      <c r="I210" s="1" t="s">
        <v>192</v>
      </c>
      <c r="J210" s="1" t="s">
        <v>192</v>
      </c>
      <c r="K210" s="1" t="s">
        <v>192</v>
      </c>
      <c r="L210" s="1" t="s">
        <v>192</v>
      </c>
      <c r="M210" s="1" t="s">
        <v>192</v>
      </c>
      <c r="N210" s="1" t="s">
        <v>192</v>
      </c>
      <c r="O210" s="1" t="s">
        <v>192</v>
      </c>
      <c r="P210" s="1" t="s">
        <v>192</v>
      </c>
      <c r="Q210" s="1" t="s">
        <v>192</v>
      </c>
      <c r="R210" s="1" t="s">
        <v>192</v>
      </c>
      <c r="S210" s="1" t="s">
        <v>192</v>
      </c>
      <c r="T210" s="1" t="s">
        <v>192</v>
      </c>
      <c r="U210" s="1" t="s">
        <v>192</v>
      </c>
      <c r="V210" s="1" t="s">
        <v>192</v>
      </c>
      <c r="W210" s="1" t="s">
        <v>192</v>
      </c>
      <c r="X210" s="1" t="s">
        <v>192</v>
      </c>
      <c r="Y210" s="1" t="s">
        <v>192</v>
      </c>
      <c r="Z210" s="1" t="s">
        <v>192</v>
      </c>
      <c r="AA210" s="1" t="s">
        <v>192</v>
      </c>
      <c r="AB210" s="1" t="s">
        <v>192</v>
      </c>
      <c r="AJ210">
        <f t="shared" si="56"/>
        <v>27</v>
      </c>
    </row>
    <row r="211" spans="1:36" x14ac:dyDescent="0.2">
      <c r="B211" s="4">
        <v>1999</v>
      </c>
      <c r="C211" s="4">
        <v>2000</v>
      </c>
      <c r="D211" s="4">
        <v>2001</v>
      </c>
      <c r="E211" s="4">
        <v>2002</v>
      </c>
      <c r="F211" s="4">
        <v>2003</v>
      </c>
      <c r="G211" s="4">
        <v>2004</v>
      </c>
      <c r="H211" s="4">
        <v>2005</v>
      </c>
      <c r="I211" s="4">
        <v>2006</v>
      </c>
      <c r="J211" s="4">
        <v>2007</v>
      </c>
      <c r="K211" s="4">
        <v>2008</v>
      </c>
      <c r="L211" s="4">
        <v>2009</v>
      </c>
      <c r="M211" s="4">
        <v>2010</v>
      </c>
      <c r="N211" s="4">
        <v>2011</v>
      </c>
      <c r="O211" s="4">
        <v>2012</v>
      </c>
      <c r="P211" s="4">
        <v>2013</v>
      </c>
      <c r="Q211" s="4">
        <v>2014</v>
      </c>
      <c r="R211" s="4">
        <v>2015</v>
      </c>
      <c r="S211" s="4">
        <v>2016</v>
      </c>
      <c r="T211" s="4">
        <v>2017</v>
      </c>
      <c r="U211" s="4">
        <v>2018</v>
      </c>
      <c r="V211" s="4">
        <v>2019</v>
      </c>
      <c r="W211" s="4">
        <v>2020</v>
      </c>
      <c r="X211" s="4">
        <v>2021</v>
      </c>
      <c r="Y211" s="4">
        <v>2022</v>
      </c>
      <c r="Z211" s="4">
        <v>2023</v>
      </c>
      <c r="AA211" s="4">
        <v>2024</v>
      </c>
      <c r="AB211" s="4">
        <v>2025</v>
      </c>
      <c r="AE211" t="s">
        <v>73</v>
      </c>
      <c r="AF211" s="4" t="s">
        <v>74</v>
      </c>
      <c r="AG211" s="4" t="s">
        <v>77</v>
      </c>
      <c r="AH211" t="s">
        <v>78</v>
      </c>
      <c r="AJ211">
        <f t="shared" si="56"/>
        <v>27</v>
      </c>
    </row>
    <row r="212" spans="1:36" x14ac:dyDescent="0.2">
      <c r="A212" s="104" t="s">
        <v>1</v>
      </c>
      <c r="B212" s="187"/>
      <c r="C212" s="187"/>
      <c r="D212" s="187"/>
      <c r="E212" s="187"/>
      <c r="F212" s="188"/>
      <c r="G212" s="188"/>
      <c r="H212" s="188"/>
      <c r="I212" s="188"/>
      <c r="J212" s="188"/>
      <c r="K212" s="188"/>
      <c r="L212" s="188"/>
      <c r="M212" s="198"/>
      <c r="N212" s="44">
        <v>39930000</v>
      </c>
      <c r="O212" s="44">
        <v>19985000</v>
      </c>
      <c r="P212" s="44">
        <v>200000</v>
      </c>
      <c r="Q212" s="44">
        <v>15200000</v>
      </c>
      <c r="R212" s="44">
        <v>1000000</v>
      </c>
      <c r="S212" s="44">
        <v>90000</v>
      </c>
      <c r="T212" s="186"/>
      <c r="U212" s="6"/>
      <c r="V212" s="6"/>
      <c r="W212" s="6"/>
      <c r="X212" s="6">
        <v>45000</v>
      </c>
      <c r="Y212" s="6"/>
      <c r="Z212" s="6">
        <v>45000</v>
      </c>
      <c r="AA212" s="6"/>
      <c r="AB212" s="6">
        <v>45000</v>
      </c>
      <c r="AD212" s="104" t="s">
        <v>1</v>
      </c>
      <c r="AE212" s="9">
        <f ca="1">AnzahlBackgroundColor(E212:AB212)</f>
        <v>0</v>
      </c>
      <c r="AF212" s="16">
        <f ca="1">AJ212-AnzahlBackgroundColor(B212:AB212)</f>
        <v>0</v>
      </c>
      <c r="AG212" t="e">
        <f ca="1">AE212/AF212*100</f>
        <v>#DIV/0!</v>
      </c>
      <c r="AH212">
        <f ca="1">AE212*0.01</f>
        <v>0</v>
      </c>
      <c r="AJ212">
        <f t="shared" si="56"/>
        <v>27</v>
      </c>
    </row>
    <row r="213" spans="1:36" x14ac:dyDescent="0.2">
      <c r="A213" s="104" t="s">
        <v>2</v>
      </c>
      <c r="B213" s="191"/>
      <c r="C213" s="191"/>
      <c r="D213" s="191"/>
      <c r="E213" s="191"/>
      <c r="F213" s="186"/>
      <c r="G213" s="186"/>
      <c r="H213" s="186"/>
      <c r="I213" s="186"/>
      <c r="J213" s="186"/>
      <c r="K213" s="186"/>
      <c r="L213" s="186"/>
      <c r="M213" s="199"/>
      <c r="N213" s="44">
        <v>99930000</v>
      </c>
      <c r="O213" s="44">
        <v>1000000</v>
      </c>
      <c r="P213" s="44">
        <v>200000</v>
      </c>
      <c r="Q213" s="44">
        <v>200000</v>
      </c>
      <c r="R213" s="44">
        <v>1000000</v>
      </c>
      <c r="S213" s="44">
        <v>90000</v>
      </c>
      <c r="T213" s="186"/>
      <c r="U213" s="6"/>
      <c r="V213" s="6"/>
      <c r="W213" s="6"/>
      <c r="X213" s="6">
        <v>45000</v>
      </c>
      <c r="Y213" s="6"/>
      <c r="Z213" s="6">
        <v>45000</v>
      </c>
      <c r="AA213" s="6"/>
      <c r="AB213" s="6">
        <v>45000</v>
      </c>
      <c r="AD213" s="104" t="s">
        <v>2</v>
      </c>
      <c r="AE213" s="9">
        <f ca="1">AnzahlBackgroundColor(E213:AB213)</f>
        <v>0</v>
      </c>
      <c r="AF213" s="16">
        <f t="shared" ref="AF213:AF219" ca="1" si="61">AJ213-AnzahlBackgroundColor(B213:AB213)</f>
        <v>0</v>
      </c>
      <c r="AG213" t="e">
        <f t="shared" ref="AG213:AG218" ca="1" si="62">AE213/AF213*100</f>
        <v>#DIV/0!</v>
      </c>
      <c r="AH213">
        <f ca="1">AE213*0.02</f>
        <v>0</v>
      </c>
      <c r="AJ213">
        <f t="shared" si="56"/>
        <v>27</v>
      </c>
    </row>
    <row r="214" spans="1:36" x14ac:dyDescent="0.2">
      <c r="A214" s="104" t="s">
        <v>3</v>
      </c>
      <c r="B214" s="191"/>
      <c r="C214" s="191"/>
      <c r="D214" s="191"/>
      <c r="E214" s="191"/>
      <c r="F214" s="186"/>
      <c r="G214" s="186"/>
      <c r="H214" s="186"/>
      <c r="I214" s="186"/>
      <c r="J214" s="186"/>
      <c r="K214" s="186"/>
      <c r="L214" s="186"/>
      <c r="M214" s="199"/>
      <c r="N214" s="44">
        <v>59930000</v>
      </c>
      <c r="O214" s="44">
        <v>5985000</v>
      </c>
      <c r="P214" s="44">
        <v>200000</v>
      </c>
      <c r="Q214" s="44">
        <v>30200000</v>
      </c>
      <c r="R214" s="44">
        <v>1000000</v>
      </c>
      <c r="S214" s="44">
        <v>90000</v>
      </c>
      <c r="T214" s="186"/>
      <c r="U214" s="6"/>
      <c r="V214" s="6"/>
      <c r="W214" s="6"/>
      <c r="X214" s="6">
        <v>45000</v>
      </c>
      <c r="Y214" s="6"/>
      <c r="Z214" s="6">
        <v>45000</v>
      </c>
      <c r="AA214" s="6"/>
      <c r="AB214" s="6">
        <v>45000</v>
      </c>
      <c r="AD214" s="104" t="s">
        <v>3</v>
      </c>
      <c r="AE214" s="9">
        <f ca="1">AnzahlBackgroundColor(E214:AB214)</f>
        <v>0</v>
      </c>
      <c r="AF214" s="16">
        <f t="shared" ca="1" si="61"/>
        <v>0</v>
      </c>
      <c r="AG214" t="e">
        <f t="shared" ca="1" si="62"/>
        <v>#DIV/0!</v>
      </c>
      <c r="AH214">
        <f ca="1">AE214*0.05</f>
        <v>0</v>
      </c>
      <c r="AJ214">
        <f t="shared" si="56"/>
        <v>27</v>
      </c>
    </row>
    <row r="215" spans="1:36" x14ac:dyDescent="0.2">
      <c r="A215" s="104" t="s">
        <v>4</v>
      </c>
      <c r="B215" s="191"/>
      <c r="C215" s="191"/>
      <c r="D215" s="191"/>
      <c r="E215" s="191"/>
      <c r="F215" s="186"/>
      <c r="G215" s="186"/>
      <c r="H215" s="186"/>
      <c r="I215" s="186"/>
      <c r="J215" s="186"/>
      <c r="K215" s="186"/>
      <c r="L215" s="186"/>
      <c r="M215" s="199"/>
      <c r="N215" s="44">
        <v>69930000</v>
      </c>
      <c r="O215" s="44">
        <v>1000000</v>
      </c>
      <c r="P215" s="44">
        <v>200000</v>
      </c>
      <c r="Q215" s="44">
        <v>200000</v>
      </c>
      <c r="R215" s="44">
        <v>1000000</v>
      </c>
      <c r="S215" s="44">
        <v>90000</v>
      </c>
      <c r="T215" s="186"/>
      <c r="U215" s="6"/>
      <c r="V215" s="6"/>
      <c r="W215" s="6"/>
      <c r="X215" s="6">
        <v>45000</v>
      </c>
      <c r="Y215" s="6"/>
      <c r="Z215" s="6">
        <v>45000</v>
      </c>
      <c r="AA215" s="6"/>
      <c r="AB215" s="6">
        <v>45000</v>
      </c>
      <c r="AD215" s="104" t="s">
        <v>4</v>
      </c>
      <c r="AE215" s="9">
        <f ca="1">AnzahlBackgroundColor(E215:AB215)</f>
        <v>0</v>
      </c>
      <c r="AF215" s="16">
        <f t="shared" ca="1" si="61"/>
        <v>0</v>
      </c>
      <c r="AG215" t="e">
        <f t="shared" ca="1" si="62"/>
        <v>#DIV/0!</v>
      </c>
      <c r="AH215">
        <f ca="1">AE215*0.1</f>
        <v>0</v>
      </c>
      <c r="AJ215">
        <f t="shared" si="56"/>
        <v>27</v>
      </c>
    </row>
    <row r="216" spans="1:36" x14ac:dyDescent="0.2">
      <c r="A216" s="104" t="s">
        <v>5</v>
      </c>
      <c r="B216" s="191"/>
      <c r="C216" s="191"/>
      <c r="D216" s="191"/>
      <c r="E216" s="191"/>
      <c r="F216" s="186"/>
      <c r="G216" s="186"/>
      <c r="H216" s="186"/>
      <c r="I216" s="186"/>
      <c r="J216" s="186"/>
      <c r="K216" s="186"/>
      <c r="L216" s="186"/>
      <c r="M216" s="199"/>
      <c r="N216" s="44">
        <v>64930000</v>
      </c>
      <c r="O216" s="44">
        <v>1000000</v>
      </c>
      <c r="P216" s="44">
        <v>200000</v>
      </c>
      <c r="Q216" s="44">
        <v>200000</v>
      </c>
      <c r="R216" s="44">
        <v>1000000</v>
      </c>
      <c r="S216" s="44">
        <v>90000</v>
      </c>
      <c r="T216" s="186"/>
      <c r="U216" s="6"/>
      <c r="V216" s="6"/>
      <c r="W216" s="6"/>
      <c r="X216" s="6">
        <v>45000</v>
      </c>
      <c r="Y216" s="6"/>
      <c r="Z216" s="6">
        <v>45000</v>
      </c>
      <c r="AA216" s="6"/>
      <c r="AB216" s="6">
        <v>45000</v>
      </c>
      <c r="AD216" s="104" t="s">
        <v>5</v>
      </c>
      <c r="AE216" s="9">
        <f ca="1">AnzahlBackgroundColor(E216:AB216)</f>
        <v>0</v>
      </c>
      <c r="AF216" s="16">
        <f t="shared" ca="1" si="61"/>
        <v>0</v>
      </c>
      <c r="AG216" t="e">
        <f t="shared" ca="1" si="62"/>
        <v>#DIV/0!</v>
      </c>
      <c r="AH216">
        <f ca="1">AE216*0.2</f>
        <v>0</v>
      </c>
      <c r="AJ216">
        <f t="shared" si="56"/>
        <v>27</v>
      </c>
    </row>
    <row r="217" spans="1:36" x14ac:dyDescent="0.2">
      <c r="A217" s="104" t="s">
        <v>6</v>
      </c>
      <c r="B217" s="191"/>
      <c r="C217" s="191"/>
      <c r="D217" s="191"/>
      <c r="E217" s="191"/>
      <c r="F217" s="186"/>
      <c r="G217" s="186"/>
      <c r="H217" s="186"/>
      <c r="I217" s="186"/>
      <c r="J217" s="186"/>
      <c r="K217" s="186"/>
      <c r="L217" s="186"/>
      <c r="M217" s="205">
        <v>2200000</v>
      </c>
      <c r="N217" s="205">
        <v>2200000</v>
      </c>
      <c r="O217" s="205">
        <v>1600000</v>
      </c>
      <c r="P217" s="205">
        <v>1900000</v>
      </c>
      <c r="Q217" s="205">
        <v>1500000</v>
      </c>
      <c r="R217" s="205">
        <v>2000000</v>
      </c>
      <c r="S217" s="205">
        <v>2200000</v>
      </c>
      <c r="T217" s="205">
        <v>2100000</v>
      </c>
      <c r="U217" s="205">
        <v>2100000</v>
      </c>
      <c r="V217" s="229">
        <v>2100000</v>
      </c>
      <c r="W217" s="6"/>
      <c r="X217" s="6">
        <v>45000</v>
      </c>
      <c r="Y217" s="6"/>
      <c r="Z217" s="6">
        <v>45000</v>
      </c>
      <c r="AA217" s="6"/>
      <c r="AB217" s="6">
        <v>45000</v>
      </c>
      <c r="AD217" s="104" t="s">
        <v>6</v>
      </c>
      <c r="AE217" s="9">
        <f ca="1">AnzahlBackgroundColor(E217:AB217)</f>
        <v>1</v>
      </c>
      <c r="AF217" s="16">
        <f t="shared" ca="1" si="61"/>
        <v>10</v>
      </c>
      <c r="AG217">
        <f t="shared" ca="1" si="62"/>
        <v>10</v>
      </c>
      <c r="AH217">
        <f ca="1">AE217*0.5</f>
        <v>0.5</v>
      </c>
      <c r="AJ217">
        <f t="shared" si="56"/>
        <v>27</v>
      </c>
    </row>
    <row r="218" spans="1:36" x14ac:dyDescent="0.2">
      <c r="A218" s="104" t="s">
        <v>7</v>
      </c>
      <c r="B218" s="191"/>
      <c r="C218" s="191"/>
      <c r="D218" s="191"/>
      <c r="E218" s="191"/>
      <c r="F218" s="186"/>
      <c r="G218" s="186"/>
      <c r="H218" s="186"/>
      <c r="I218" s="186"/>
      <c r="J218" s="186"/>
      <c r="K218" s="186"/>
      <c r="L218" s="186"/>
      <c r="M218" s="199"/>
      <c r="N218" s="44">
        <v>27930000</v>
      </c>
      <c r="O218" s="44">
        <v>3985000</v>
      </c>
      <c r="P218" s="44">
        <v>200000</v>
      </c>
      <c r="Q218" s="44">
        <v>200000</v>
      </c>
      <c r="R218" s="44">
        <v>1000000</v>
      </c>
      <c r="S218" s="44">
        <v>90000</v>
      </c>
      <c r="T218" s="186"/>
      <c r="U218" s="6"/>
      <c r="V218" s="6"/>
      <c r="W218" s="6"/>
      <c r="X218" s="6">
        <v>45000</v>
      </c>
      <c r="Y218" s="6"/>
      <c r="Z218" s="6">
        <v>45000</v>
      </c>
      <c r="AA218" s="6"/>
      <c r="AB218" s="6">
        <v>45000</v>
      </c>
      <c r="AD218" s="104" t="s">
        <v>7</v>
      </c>
      <c r="AE218" s="9">
        <f ca="1">AnzahlBackgroundColor(E218:AB218)</f>
        <v>0</v>
      </c>
      <c r="AF218" s="16">
        <f t="shared" ca="1" si="61"/>
        <v>0</v>
      </c>
      <c r="AG218" t="e">
        <f t="shared" ca="1" si="62"/>
        <v>#DIV/0!</v>
      </c>
      <c r="AH218">
        <f ca="1">AE218*1</f>
        <v>0</v>
      </c>
      <c r="AJ218">
        <f t="shared" si="56"/>
        <v>27</v>
      </c>
    </row>
    <row r="219" spans="1:36" x14ac:dyDescent="0.2">
      <c r="A219" s="104" t="s">
        <v>8</v>
      </c>
      <c r="B219" s="194"/>
      <c r="C219" s="194"/>
      <c r="D219" s="194"/>
      <c r="E219" s="194"/>
      <c r="F219" s="195"/>
      <c r="G219" s="195"/>
      <c r="H219" s="195"/>
      <c r="I219" s="195"/>
      <c r="J219" s="195"/>
      <c r="K219" s="195"/>
      <c r="L219" s="195"/>
      <c r="M219" s="200"/>
      <c r="N219" s="44">
        <v>24930000</v>
      </c>
      <c r="O219" s="44">
        <v>4985000</v>
      </c>
      <c r="P219" s="44">
        <v>200000</v>
      </c>
      <c r="Q219" s="44">
        <v>200000</v>
      </c>
      <c r="R219" s="44">
        <v>1000000</v>
      </c>
      <c r="S219" s="44">
        <v>90000</v>
      </c>
      <c r="T219" s="186"/>
      <c r="U219" s="6"/>
      <c r="V219" s="6"/>
      <c r="W219" s="6"/>
      <c r="X219" s="6">
        <v>45000</v>
      </c>
      <c r="Y219" s="6"/>
      <c r="Z219" s="6">
        <v>45000</v>
      </c>
      <c r="AA219" s="6"/>
      <c r="AB219" s="6">
        <v>45000</v>
      </c>
      <c r="AD219" s="104" t="s">
        <v>8</v>
      </c>
      <c r="AE219" s="9">
        <f ca="1">AnzahlBackgroundColor(E219:AB219)</f>
        <v>0</v>
      </c>
      <c r="AF219" s="16">
        <f t="shared" ca="1" si="61"/>
        <v>0</v>
      </c>
      <c r="AG219" t="e">
        <f ca="1">AE219/AF219*100</f>
        <v>#DIV/0!</v>
      </c>
      <c r="AH219">
        <f ca="1">AE219*2</f>
        <v>0</v>
      </c>
      <c r="AJ219">
        <f t="shared" si="56"/>
        <v>27</v>
      </c>
    </row>
    <row r="220" spans="1:36" x14ac:dyDescent="0.2">
      <c r="AD220" s="104" t="s">
        <v>75</v>
      </c>
      <c r="AE220" s="19">
        <f ca="1" xml:space="preserve"> AE212+AE213+AE214+AE215+AE216+AE217+AE218+AE219</f>
        <v>1</v>
      </c>
      <c r="AF220" s="19">
        <f ca="1" xml:space="preserve"> AF212+AF213+AF214+AF215+AF216+AF217+AF218+AF219</f>
        <v>10</v>
      </c>
      <c r="AG220" s="19">
        <f t="shared" ref="AG220" ca="1" si="63">AE220/AF220*100</f>
        <v>10</v>
      </c>
      <c r="AH220" s="19">
        <f ca="1" xml:space="preserve"> AH212+AH213+AH214+AH215+AH216+AH217+AH218+AH219</f>
        <v>0.5</v>
      </c>
      <c r="AJ220">
        <f t="shared" si="56"/>
        <v>27</v>
      </c>
    </row>
    <row r="221" spans="1:36" x14ac:dyDescent="0.2">
      <c r="B221" s="1" t="s">
        <v>13</v>
      </c>
      <c r="C221" s="1" t="s">
        <v>13</v>
      </c>
      <c r="D221" s="1" t="s">
        <v>13</v>
      </c>
      <c r="E221" s="1" t="s">
        <v>13</v>
      </c>
      <c r="F221" s="1" t="s">
        <v>13</v>
      </c>
      <c r="G221" s="1" t="s">
        <v>13</v>
      </c>
      <c r="H221" s="1" t="s">
        <v>13</v>
      </c>
      <c r="I221" s="1" t="s">
        <v>13</v>
      </c>
      <c r="J221" s="1" t="s">
        <v>13</v>
      </c>
      <c r="K221" s="1" t="s">
        <v>13</v>
      </c>
      <c r="L221" s="1" t="s">
        <v>13</v>
      </c>
      <c r="M221" s="1" t="s">
        <v>13</v>
      </c>
      <c r="N221" s="1" t="s">
        <v>13</v>
      </c>
      <c r="O221" s="1" t="s">
        <v>13</v>
      </c>
      <c r="P221" s="1" t="s">
        <v>13</v>
      </c>
      <c r="Q221" s="1" t="s">
        <v>13</v>
      </c>
      <c r="R221" s="1" t="s">
        <v>13</v>
      </c>
      <c r="S221" s="1" t="s">
        <v>13</v>
      </c>
      <c r="T221" s="1" t="s">
        <v>13</v>
      </c>
      <c r="U221" s="1" t="s">
        <v>13</v>
      </c>
      <c r="V221" s="1" t="s">
        <v>13</v>
      </c>
      <c r="W221" s="1" t="s">
        <v>13</v>
      </c>
      <c r="X221" s="1" t="s">
        <v>13</v>
      </c>
      <c r="Y221" s="1" t="s">
        <v>13</v>
      </c>
      <c r="Z221" s="1" t="s">
        <v>13</v>
      </c>
      <c r="AA221" s="1" t="s">
        <v>13</v>
      </c>
      <c r="AB221" s="1" t="s">
        <v>13</v>
      </c>
      <c r="AJ221">
        <f t="shared" si="56"/>
        <v>27</v>
      </c>
    </row>
    <row r="222" spans="1:36" x14ac:dyDescent="0.2">
      <c r="B222" s="4">
        <v>1999</v>
      </c>
      <c r="C222" s="4">
        <v>2000</v>
      </c>
      <c r="D222" s="4">
        <v>2001</v>
      </c>
      <c r="E222" s="4">
        <v>2002</v>
      </c>
      <c r="F222" s="4">
        <v>2003</v>
      </c>
      <c r="G222" s="4">
        <v>2004</v>
      </c>
      <c r="H222" s="4">
        <v>2005</v>
      </c>
      <c r="I222" s="4">
        <v>2006</v>
      </c>
      <c r="J222" s="4">
        <v>2007</v>
      </c>
      <c r="K222" s="4">
        <v>2008</v>
      </c>
      <c r="L222" s="4">
        <v>2009</v>
      </c>
      <c r="M222" s="4">
        <v>2010</v>
      </c>
      <c r="N222" s="4">
        <v>2011</v>
      </c>
      <c r="O222" s="4">
        <v>2012</v>
      </c>
      <c r="P222" s="4">
        <v>2013</v>
      </c>
      <c r="Q222" s="4">
        <v>2014</v>
      </c>
      <c r="R222" s="4">
        <v>2015</v>
      </c>
      <c r="S222" s="4">
        <v>2016</v>
      </c>
      <c r="T222" s="4">
        <v>2017</v>
      </c>
      <c r="U222" s="4">
        <v>2018</v>
      </c>
      <c r="V222" s="4">
        <v>2019</v>
      </c>
      <c r="W222" s="4">
        <v>2020</v>
      </c>
      <c r="X222" s="4">
        <v>2021</v>
      </c>
      <c r="Y222" s="4">
        <v>2022</v>
      </c>
      <c r="Z222" s="4">
        <v>2023</v>
      </c>
      <c r="AA222" s="4">
        <v>2024</v>
      </c>
      <c r="AB222" s="4">
        <v>2025</v>
      </c>
      <c r="AE222" t="s">
        <v>73</v>
      </c>
      <c r="AF222" s="4" t="s">
        <v>74</v>
      </c>
      <c r="AG222" s="4" t="s">
        <v>77</v>
      </c>
      <c r="AH222" t="s">
        <v>78</v>
      </c>
      <c r="AJ222">
        <f t="shared" si="56"/>
        <v>27</v>
      </c>
    </row>
    <row r="223" spans="1:36" x14ac:dyDescent="0.2">
      <c r="A223" s="104" t="s">
        <v>1</v>
      </c>
      <c r="B223" s="187"/>
      <c r="C223" s="188"/>
      <c r="D223" s="188"/>
      <c r="E223" s="188"/>
      <c r="F223" s="188"/>
      <c r="G223" s="188"/>
      <c r="H223" s="188"/>
      <c r="I223" s="188"/>
      <c r="J223" s="198"/>
      <c r="K223" s="42">
        <v>39930000</v>
      </c>
      <c r="L223" s="42">
        <v>19985000</v>
      </c>
      <c r="M223" s="44">
        <v>200000</v>
      </c>
      <c r="N223" s="43">
        <v>15200000</v>
      </c>
      <c r="O223" s="44">
        <v>210000</v>
      </c>
      <c r="P223" s="44">
        <v>90000</v>
      </c>
      <c r="Q223" s="186"/>
      <c r="R223" s="43">
        <v>7100000</v>
      </c>
      <c r="S223" s="43">
        <v>8000000</v>
      </c>
      <c r="T223" s="186">
        <v>100000</v>
      </c>
      <c r="U223" s="186">
        <v>100000</v>
      </c>
      <c r="V223" s="43">
        <v>11100000</v>
      </c>
      <c r="W223" s="43">
        <v>11100000</v>
      </c>
      <c r="X223" s="43">
        <v>9155000</v>
      </c>
      <c r="Y223" s="6"/>
      <c r="Z223" s="6">
        <v>45000</v>
      </c>
      <c r="AA223" s="6"/>
      <c r="AB223" s="6">
        <v>45000</v>
      </c>
      <c r="AD223" s="104" t="s">
        <v>1</v>
      </c>
      <c r="AE223" s="9">
        <f ca="1">AnzahlBackgroundColor(B223:AB223)</f>
        <v>2</v>
      </c>
      <c r="AF223" s="16">
        <f ca="1">AJ223-AnzahlBackgroundColor(B223:AB223)</f>
        <v>8</v>
      </c>
      <c r="AG223">
        <f ca="1">AE223/AF223*100</f>
        <v>25</v>
      </c>
      <c r="AH223">
        <f ca="1">AE223*0.01</f>
        <v>0.02</v>
      </c>
      <c r="AJ223">
        <f t="shared" si="56"/>
        <v>27</v>
      </c>
    </row>
    <row r="224" spans="1:36" x14ac:dyDescent="0.2">
      <c r="A224" s="104" t="s">
        <v>2</v>
      </c>
      <c r="B224" s="191"/>
      <c r="C224" s="186"/>
      <c r="D224" s="186"/>
      <c r="E224" s="186"/>
      <c r="F224" s="186"/>
      <c r="G224" s="186"/>
      <c r="H224" s="186"/>
      <c r="I224" s="186"/>
      <c r="J224" s="199"/>
      <c r="K224" s="42">
        <v>99930000</v>
      </c>
      <c r="L224" s="43">
        <v>1000000</v>
      </c>
      <c r="M224" s="44">
        <v>200000</v>
      </c>
      <c r="N224" s="44">
        <v>200000</v>
      </c>
      <c r="O224" s="44">
        <v>210000</v>
      </c>
      <c r="P224" s="44">
        <v>90000</v>
      </c>
      <c r="Q224" s="186"/>
      <c r="R224" s="186">
        <v>100000</v>
      </c>
      <c r="S224" s="186">
        <v>100000</v>
      </c>
      <c r="T224" s="186">
        <v>100000</v>
      </c>
      <c r="U224" s="186">
        <v>100000</v>
      </c>
      <c r="V224" s="43">
        <v>9100000</v>
      </c>
      <c r="W224" s="43">
        <v>9100000</v>
      </c>
      <c r="X224" s="43">
        <v>12605000</v>
      </c>
      <c r="Y224" s="6"/>
      <c r="Z224" s="6">
        <v>45000</v>
      </c>
      <c r="AA224" s="6"/>
      <c r="AB224" s="6">
        <v>45000</v>
      </c>
      <c r="AD224" s="104" t="s">
        <v>2</v>
      </c>
      <c r="AE224" s="9">
        <f ca="1">AnzahlBackgroundColor(B224:AB224)</f>
        <v>1</v>
      </c>
      <c r="AF224" s="16">
        <f t="shared" ref="AF224:AF230" ca="1" si="64">AJ224-AnzahlBackgroundColor(B224:AB224)</f>
        <v>5</v>
      </c>
      <c r="AG224">
        <f t="shared" ref="AG224:AG229" ca="1" si="65">AE224/AF224*100</f>
        <v>20</v>
      </c>
      <c r="AH224">
        <f ca="1">AE224*0.02</f>
        <v>0.02</v>
      </c>
      <c r="AJ224">
        <f t="shared" si="56"/>
        <v>27</v>
      </c>
    </row>
    <row r="225" spans="1:36" x14ac:dyDescent="0.2">
      <c r="A225" s="104" t="s">
        <v>3</v>
      </c>
      <c r="B225" s="191"/>
      <c r="C225" s="186"/>
      <c r="D225" s="186"/>
      <c r="E225" s="186"/>
      <c r="F225" s="186"/>
      <c r="G225" s="186"/>
      <c r="H225" s="186"/>
      <c r="I225" s="186"/>
      <c r="J225" s="199"/>
      <c r="K225" s="42">
        <v>59930000</v>
      </c>
      <c r="L225" s="43">
        <v>5985000</v>
      </c>
      <c r="M225" s="44">
        <v>200000</v>
      </c>
      <c r="N225" s="42">
        <v>30200000</v>
      </c>
      <c r="O225" s="43">
        <v>1000000</v>
      </c>
      <c r="P225" s="44">
        <v>90000</v>
      </c>
      <c r="Q225" s="186"/>
      <c r="R225" s="186">
        <v>100000</v>
      </c>
      <c r="S225" s="186">
        <v>100000</v>
      </c>
      <c r="T225" s="186">
        <v>100000</v>
      </c>
      <c r="U225" s="186">
        <v>100000</v>
      </c>
      <c r="V225" s="43">
        <v>8100000</v>
      </c>
      <c r="W225" s="43">
        <v>8100000</v>
      </c>
      <c r="X225" s="43">
        <v>7955000</v>
      </c>
      <c r="Y225" s="6"/>
      <c r="Z225" s="6">
        <v>45000</v>
      </c>
      <c r="AA225" s="6"/>
      <c r="AB225" s="6">
        <v>45000</v>
      </c>
      <c r="AD225" s="104" t="s">
        <v>3</v>
      </c>
      <c r="AE225" s="9">
        <f ca="1">AnzahlBackgroundColor(B225:AB225)</f>
        <v>2</v>
      </c>
      <c r="AF225" s="16">
        <f t="shared" ca="1" si="64"/>
        <v>7</v>
      </c>
      <c r="AG225">
        <f t="shared" ca="1" si="65"/>
        <v>28.571428571428569</v>
      </c>
      <c r="AH225">
        <f ca="1">AE225*0.05</f>
        <v>0.1</v>
      </c>
      <c r="AJ225">
        <f t="shared" si="56"/>
        <v>27</v>
      </c>
    </row>
    <row r="226" spans="1:36" x14ac:dyDescent="0.2">
      <c r="A226" s="104" t="s">
        <v>4</v>
      </c>
      <c r="B226" s="191"/>
      <c r="C226" s="186"/>
      <c r="D226" s="186"/>
      <c r="E226" s="186"/>
      <c r="F226" s="186"/>
      <c r="G226" s="186"/>
      <c r="H226" s="186"/>
      <c r="I226" s="186"/>
      <c r="J226" s="199"/>
      <c r="K226" s="42">
        <v>69930000</v>
      </c>
      <c r="L226" s="43">
        <v>1000000</v>
      </c>
      <c r="M226" s="44">
        <v>200000</v>
      </c>
      <c r="N226" s="44">
        <v>200000</v>
      </c>
      <c r="O226" s="43">
        <v>1000000</v>
      </c>
      <c r="P226" s="44">
        <v>90000</v>
      </c>
      <c r="Q226" s="186"/>
      <c r="R226" s="186">
        <v>100000</v>
      </c>
      <c r="S226" s="186">
        <v>100000</v>
      </c>
      <c r="T226" s="186">
        <v>100000</v>
      </c>
      <c r="U226" s="186">
        <v>100000</v>
      </c>
      <c r="V226" s="43">
        <v>5600000</v>
      </c>
      <c r="W226" s="43">
        <v>5600000</v>
      </c>
      <c r="X226" s="43">
        <v>4445000</v>
      </c>
      <c r="Y226" s="6"/>
      <c r="Z226" s="6">
        <v>45000</v>
      </c>
      <c r="AA226" s="6"/>
      <c r="AB226" s="6">
        <v>45000</v>
      </c>
      <c r="AD226" s="104" t="s">
        <v>4</v>
      </c>
      <c r="AE226" s="9">
        <f ca="1">AnzahlBackgroundColor(B226:AB226)</f>
        <v>1</v>
      </c>
      <c r="AF226" s="16">
        <f t="shared" ca="1" si="64"/>
        <v>6</v>
      </c>
      <c r="AG226">
        <f t="shared" ca="1" si="65"/>
        <v>16.666666666666664</v>
      </c>
      <c r="AH226">
        <f ca="1">AE226*0.1</f>
        <v>0.1</v>
      </c>
      <c r="AJ226">
        <f t="shared" si="56"/>
        <v>27</v>
      </c>
    </row>
    <row r="227" spans="1:36" x14ac:dyDescent="0.2">
      <c r="A227" s="104" t="s">
        <v>5</v>
      </c>
      <c r="B227" s="191"/>
      <c r="C227" s="186"/>
      <c r="D227" s="186"/>
      <c r="E227" s="186"/>
      <c r="F227" s="186"/>
      <c r="G227" s="186"/>
      <c r="H227" s="186"/>
      <c r="I227" s="186"/>
      <c r="J227" s="199"/>
      <c r="K227" s="42">
        <v>64930000</v>
      </c>
      <c r="L227" s="43">
        <v>1000000</v>
      </c>
      <c r="M227" s="44">
        <v>200000</v>
      </c>
      <c r="N227" s="44">
        <v>200000</v>
      </c>
      <c r="O227" s="43">
        <v>1000000</v>
      </c>
      <c r="P227" s="44">
        <v>90000</v>
      </c>
      <c r="Q227" s="186"/>
      <c r="R227" s="186">
        <v>100000</v>
      </c>
      <c r="S227" s="186">
        <v>100000</v>
      </c>
      <c r="T227" s="186">
        <v>100000</v>
      </c>
      <c r="U227" s="186">
        <v>100000</v>
      </c>
      <c r="V227" s="43">
        <v>6100000</v>
      </c>
      <c r="W227" s="43">
        <v>6100000</v>
      </c>
      <c r="X227" s="43">
        <v>4805000</v>
      </c>
      <c r="Y227" s="6"/>
      <c r="Z227" s="6">
        <v>45000</v>
      </c>
      <c r="AA227" s="6"/>
      <c r="AB227" s="6">
        <v>45000</v>
      </c>
      <c r="AD227" s="104" t="s">
        <v>5</v>
      </c>
      <c r="AE227" s="9">
        <f ca="1">AnzahlBackgroundColor(B227:AB227)</f>
        <v>1</v>
      </c>
      <c r="AF227" s="16">
        <f t="shared" ca="1" si="64"/>
        <v>6</v>
      </c>
      <c r="AG227">
        <f t="shared" ca="1" si="65"/>
        <v>16.666666666666664</v>
      </c>
      <c r="AH227">
        <f ca="1">AE227*0.2</f>
        <v>0.2</v>
      </c>
      <c r="AJ227">
        <f t="shared" si="56"/>
        <v>27</v>
      </c>
    </row>
    <row r="228" spans="1:36" x14ac:dyDescent="0.2">
      <c r="A228" s="104" t="s">
        <v>6</v>
      </c>
      <c r="B228" s="191"/>
      <c r="C228" s="186"/>
      <c r="D228" s="186"/>
      <c r="E228" s="186"/>
      <c r="F228" s="186"/>
      <c r="G228" s="186"/>
      <c r="H228" s="186"/>
      <c r="I228" s="186"/>
      <c r="J228" s="199"/>
      <c r="K228" s="42">
        <v>29930000</v>
      </c>
      <c r="L228" s="43">
        <v>1000000</v>
      </c>
      <c r="M228" s="44">
        <v>200000</v>
      </c>
      <c r="N228" s="44">
        <v>200000</v>
      </c>
      <c r="O228" s="43">
        <v>1000000</v>
      </c>
      <c r="P228" s="44">
        <v>90000</v>
      </c>
      <c r="Q228" s="186"/>
      <c r="R228" s="186">
        <v>100000</v>
      </c>
      <c r="S228" s="186">
        <v>100000</v>
      </c>
      <c r="T228" s="186">
        <v>100000</v>
      </c>
      <c r="U228" s="186">
        <v>100000</v>
      </c>
      <c r="V228" s="43">
        <v>1400000</v>
      </c>
      <c r="W228" s="43">
        <v>1400000</v>
      </c>
      <c r="X228" s="43">
        <v>1925000</v>
      </c>
      <c r="Y228" s="6"/>
      <c r="Z228" s="6">
        <v>45000</v>
      </c>
      <c r="AA228" s="6"/>
      <c r="AB228" s="6">
        <v>45000</v>
      </c>
      <c r="AD228" s="104" t="s">
        <v>6</v>
      </c>
      <c r="AE228" s="9">
        <f ca="1">AnzahlBackgroundColor(B228:AB228)</f>
        <v>1</v>
      </c>
      <c r="AF228" s="16">
        <f t="shared" ca="1" si="64"/>
        <v>6</v>
      </c>
      <c r="AG228">
        <f t="shared" ca="1" si="65"/>
        <v>16.666666666666664</v>
      </c>
      <c r="AH228">
        <f ca="1">AE228*0.5</f>
        <v>0.5</v>
      </c>
      <c r="AJ228">
        <f t="shared" si="56"/>
        <v>27</v>
      </c>
    </row>
    <row r="229" spans="1:36" x14ac:dyDescent="0.2">
      <c r="A229" s="104" t="s">
        <v>7</v>
      </c>
      <c r="B229" s="191"/>
      <c r="C229" s="186"/>
      <c r="D229" s="186"/>
      <c r="E229" s="186"/>
      <c r="F229" s="186"/>
      <c r="G229" s="186"/>
      <c r="H229" s="186"/>
      <c r="I229" s="186"/>
      <c r="J229" s="199"/>
      <c r="K229" s="42">
        <v>27930000</v>
      </c>
      <c r="L229" s="43">
        <v>3985000</v>
      </c>
      <c r="M229" s="44">
        <v>200000</v>
      </c>
      <c r="N229" s="44">
        <v>200000</v>
      </c>
      <c r="O229" s="43">
        <v>1000000</v>
      </c>
      <c r="P229" s="44">
        <v>90000</v>
      </c>
      <c r="Q229" s="186"/>
      <c r="R229" s="186">
        <v>100000</v>
      </c>
      <c r="S229" s="186">
        <v>100000</v>
      </c>
      <c r="T229" s="186">
        <v>100000</v>
      </c>
      <c r="U229" s="186">
        <v>100000</v>
      </c>
      <c r="V229" s="44">
        <v>100000</v>
      </c>
      <c r="W229" s="44">
        <v>100000</v>
      </c>
      <c r="X229" s="43">
        <v>1580000</v>
      </c>
      <c r="Y229" s="6"/>
      <c r="Z229" s="6">
        <v>45000</v>
      </c>
      <c r="AA229" s="6"/>
      <c r="AB229" s="6">
        <v>45000</v>
      </c>
      <c r="AD229" s="104" t="s">
        <v>7</v>
      </c>
      <c r="AE229" s="9">
        <f ca="1">AnzahlBackgroundColor(B229:AB229)</f>
        <v>1</v>
      </c>
      <c r="AF229" s="16">
        <f t="shared" ca="1" si="64"/>
        <v>4</v>
      </c>
      <c r="AG229">
        <f t="shared" ca="1" si="65"/>
        <v>25</v>
      </c>
      <c r="AH229">
        <f ca="1">AE229*1</f>
        <v>1</v>
      </c>
      <c r="AJ229">
        <f t="shared" si="56"/>
        <v>27</v>
      </c>
    </row>
    <row r="230" spans="1:36" x14ac:dyDescent="0.2">
      <c r="A230" s="104" t="s">
        <v>8</v>
      </c>
      <c r="B230" s="194"/>
      <c r="C230" s="195"/>
      <c r="D230" s="195"/>
      <c r="E230" s="195"/>
      <c r="F230" s="195"/>
      <c r="G230" s="195"/>
      <c r="H230" s="195"/>
      <c r="I230" s="195"/>
      <c r="J230" s="200"/>
      <c r="K230" s="42">
        <v>24930000</v>
      </c>
      <c r="L230" s="42">
        <v>4985000</v>
      </c>
      <c r="M230" s="44">
        <v>200000</v>
      </c>
      <c r="N230" s="44">
        <v>200000</v>
      </c>
      <c r="O230" s="43">
        <v>1000000</v>
      </c>
      <c r="P230" s="44">
        <v>90000</v>
      </c>
      <c r="Q230" s="186"/>
      <c r="R230" s="186">
        <v>100000</v>
      </c>
      <c r="S230" s="186">
        <v>100000</v>
      </c>
      <c r="T230" s="186">
        <v>100000</v>
      </c>
      <c r="U230" s="186">
        <v>100000</v>
      </c>
      <c r="V230" s="43">
        <v>1400000</v>
      </c>
      <c r="W230" s="43">
        <v>1400000</v>
      </c>
      <c r="X230" s="43">
        <v>3005000</v>
      </c>
      <c r="Y230" s="6"/>
      <c r="Z230" s="6">
        <v>45000</v>
      </c>
      <c r="AA230" s="6"/>
      <c r="AB230" s="6">
        <v>45000</v>
      </c>
      <c r="AD230" s="104" t="s">
        <v>8</v>
      </c>
      <c r="AE230" s="9">
        <f ca="1">AnzahlBackgroundColor(B230:AB230)</f>
        <v>2</v>
      </c>
      <c r="AF230" s="16">
        <f t="shared" ca="1" si="64"/>
        <v>6</v>
      </c>
      <c r="AG230">
        <f ca="1">AE230/AF230*100</f>
        <v>33.333333333333329</v>
      </c>
      <c r="AH230">
        <f ca="1">AE230*2</f>
        <v>4</v>
      </c>
      <c r="AJ230">
        <f t="shared" si="56"/>
        <v>27</v>
      </c>
    </row>
    <row r="231" spans="1:36" x14ac:dyDescent="0.2">
      <c r="K231" s="122" t="s">
        <v>117</v>
      </c>
      <c r="AD231" s="104" t="s">
        <v>75</v>
      </c>
      <c r="AE231" s="19">
        <f ca="1" xml:space="preserve"> AE223+AE224+AE225+AE226+AE227+AE228+AE229+AE230</f>
        <v>11</v>
      </c>
      <c r="AF231" s="19">
        <f ca="1" xml:space="preserve"> AF223+AF224+AF225+AF226+AF227+AF228+AF229+AF230</f>
        <v>48</v>
      </c>
      <c r="AG231" s="19">
        <f t="shared" ref="AG231" ca="1" si="66">AE231/AF231*100</f>
        <v>22.916666666666664</v>
      </c>
      <c r="AH231" s="19">
        <f ca="1" xml:space="preserve"> AH223+AH224+AH225+AH226+AH227+AH228+AH229+AH230</f>
        <v>5.9399999999999995</v>
      </c>
      <c r="AJ231">
        <f t="shared" si="56"/>
        <v>27</v>
      </c>
    </row>
    <row r="234" spans="1:36" x14ac:dyDescent="0.2">
      <c r="AD234" s="104" t="s">
        <v>74</v>
      </c>
      <c r="AE234" t="s">
        <v>73</v>
      </c>
      <c r="AF234" s="4" t="s">
        <v>74</v>
      </c>
      <c r="AG234" s="4" t="s">
        <v>77</v>
      </c>
      <c r="AH234" t="s">
        <v>78</v>
      </c>
    </row>
    <row r="235" spans="1:36" x14ac:dyDescent="0.2">
      <c r="AD235" s="105" t="s">
        <v>79</v>
      </c>
      <c r="AE235" s="20">
        <f ca="1">AE11+AE22+AE33+AE44+AE55+AE66+AE77+AE99+AE110+AE121+AE132+AE154+AE165+AE176+AE187+AE198+AE209+AE231+AE220+AE143+AE88</f>
        <v>751</v>
      </c>
      <c r="AF235" s="20">
        <f ca="1">AF11+AF22+AF33+AF44+AF55+AF66+AF77+AF99+AF110+AF121+AF132+AF154+AF165+AF176+AF187+AF198+AF209+AF231+AF220</f>
        <v>1477</v>
      </c>
      <c r="AG235" s="21">
        <f ca="1">AE235/AF235*100</f>
        <v>50.846310088016246</v>
      </c>
      <c r="AH235" s="20">
        <f ca="1">AH11+AH22+AH33+AH44+AH55+AH66+AH77+AH121+AH132+AH154+AH165+AH176+AH187+AH198+AH209+AH231</f>
        <v>347.72999999999996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219"/>
  <sheetViews>
    <sheetView topLeftCell="A2" zoomScale="150" zoomScaleNormal="102" workbookViewId="0">
      <pane ySplit="1" topLeftCell="A203" activePane="bottomLeft" state="frozen"/>
      <selection activeCell="A2" sqref="A2"/>
      <selection pane="bottomLeft" activeCell="D218" sqref="D218"/>
    </sheetView>
  </sheetViews>
  <sheetFormatPr baseColWidth="10" defaultRowHeight="15" x14ac:dyDescent="0.2"/>
  <cols>
    <col min="1" max="1" width="40.83203125" customWidth="1"/>
    <col min="2" max="2" width="14.83203125" customWidth="1"/>
    <col min="4" max="4" width="11.5" style="84"/>
    <col min="5" max="5" width="5.5" bestFit="1" customWidth="1"/>
    <col min="6" max="6" width="13.33203125" customWidth="1"/>
    <col min="7" max="7" width="7.5" customWidth="1"/>
    <col min="8" max="8" width="41.1640625" bestFit="1" customWidth="1"/>
    <col min="12" max="12" width="5.5" customWidth="1"/>
    <col min="13" max="13" width="33.83203125" customWidth="1"/>
    <col min="14" max="14" width="5" customWidth="1"/>
    <col min="15" max="27" width="5" bestFit="1" customWidth="1"/>
  </cols>
  <sheetData>
    <row r="1" spans="1:9" x14ac:dyDescent="0.2">
      <c r="A1" s="2" t="s">
        <v>72</v>
      </c>
      <c r="I1" s="122" t="s">
        <v>129</v>
      </c>
    </row>
    <row r="2" spans="1:9" ht="16" thickBot="1" x14ac:dyDescent="0.25">
      <c r="A2" s="1" t="s">
        <v>0</v>
      </c>
      <c r="B2" s="1" t="s">
        <v>14</v>
      </c>
      <c r="C2" s="1" t="s">
        <v>16</v>
      </c>
      <c r="D2" s="119" t="s">
        <v>38</v>
      </c>
      <c r="E2" s="1" t="s">
        <v>122</v>
      </c>
      <c r="F2" s="1" t="s">
        <v>128</v>
      </c>
      <c r="G2" s="1" t="s">
        <v>132</v>
      </c>
      <c r="H2" s="1" t="s">
        <v>123</v>
      </c>
      <c r="I2" s="149" t="s">
        <v>130</v>
      </c>
    </row>
    <row r="3" spans="1:9" x14ac:dyDescent="0.2">
      <c r="A3" s="152" t="s">
        <v>42</v>
      </c>
      <c r="B3" s="153" t="s">
        <v>43</v>
      </c>
      <c r="C3" s="153">
        <v>2004</v>
      </c>
      <c r="D3" s="154">
        <v>16</v>
      </c>
      <c r="E3" s="155"/>
      <c r="F3" s="153"/>
      <c r="G3" s="153"/>
      <c r="H3" s="156"/>
    </row>
    <row r="4" spans="1:9" x14ac:dyDescent="0.2">
      <c r="A4" s="157" t="s">
        <v>154</v>
      </c>
      <c r="B4" t="s">
        <v>54</v>
      </c>
      <c r="C4">
        <v>2004</v>
      </c>
      <c r="D4" s="84">
        <v>35</v>
      </c>
      <c r="E4" s="28"/>
      <c r="H4" s="158"/>
    </row>
    <row r="5" spans="1:9" x14ac:dyDescent="0.2">
      <c r="A5" s="157" t="s">
        <v>154</v>
      </c>
      <c r="B5" t="s">
        <v>54</v>
      </c>
      <c r="C5">
        <v>2004</v>
      </c>
      <c r="D5" s="84">
        <v>35</v>
      </c>
      <c r="E5" s="150"/>
      <c r="H5" s="158"/>
    </row>
    <row r="6" spans="1:9" ht="16" thickBot="1" x14ac:dyDescent="0.25">
      <c r="A6" s="165" t="s">
        <v>145</v>
      </c>
      <c r="B6" s="160" t="s">
        <v>56</v>
      </c>
      <c r="C6" s="160">
        <v>2004</v>
      </c>
      <c r="D6" s="161">
        <v>2.5</v>
      </c>
      <c r="E6" s="179"/>
      <c r="F6" s="160"/>
      <c r="G6" s="160"/>
      <c r="H6" s="163"/>
    </row>
    <row r="7" spans="1:9" x14ac:dyDescent="0.2">
      <c r="A7" s="157" t="s">
        <v>61</v>
      </c>
      <c r="B7" t="s">
        <v>43</v>
      </c>
      <c r="C7">
        <v>2005</v>
      </c>
      <c r="D7" s="84">
        <v>18</v>
      </c>
      <c r="E7" s="28"/>
      <c r="H7" s="158"/>
    </row>
    <row r="8" spans="1:9" x14ac:dyDescent="0.2">
      <c r="A8" s="166" t="s">
        <v>61</v>
      </c>
      <c r="B8" s="15" t="s">
        <v>43</v>
      </c>
      <c r="C8" s="15">
        <v>2005</v>
      </c>
      <c r="D8" s="132">
        <v>18</v>
      </c>
      <c r="E8" s="168"/>
      <c r="F8" s="15"/>
      <c r="G8" s="15"/>
      <c r="H8" s="167"/>
    </row>
    <row r="9" spans="1:9" x14ac:dyDescent="0.2">
      <c r="A9" s="157" t="s">
        <v>143</v>
      </c>
      <c r="B9" t="s">
        <v>53</v>
      </c>
      <c r="C9">
        <v>2005</v>
      </c>
      <c r="D9" s="84">
        <v>2</v>
      </c>
      <c r="E9" s="150"/>
      <c r="H9" s="158"/>
    </row>
    <row r="10" spans="1:9" x14ac:dyDescent="0.2">
      <c r="A10" s="157" t="s">
        <v>150</v>
      </c>
      <c r="B10" t="s">
        <v>59</v>
      </c>
      <c r="C10">
        <v>2005</v>
      </c>
      <c r="D10" s="84">
        <v>8</v>
      </c>
      <c r="E10" s="150"/>
      <c r="H10" s="158"/>
    </row>
    <row r="11" spans="1:9" x14ac:dyDescent="0.2">
      <c r="A11" s="177" t="s">
        <v>144</v>
      </c>
      <c r="B11" s="11" t="s">
        <v>56</v>
      </c>
      <c r="C11" s="11">
        <v>2005</v>
      </c>
      <c r="D11" s="131">
        <v>2.77</v>
      </c>
      <c r="E11" s="151"/>
      <c r="F11" s="11"/>
      <c r="G11" s="11"/>
      <c r="H11" s="178"/>
    </row>
    <row r="12" spans="1:9" ht="17" thickBot="1" x14ac:dyDescent="0.25">
      <c r="A12" s="159" t="s">
        <v>144</v>
      </c>
      <c r="B12" s="160" t="s">
        <v>56</v>
      </c>
      <c r="C12" s="160">
        <v>2005</v>
      </c>
      <c r="D12" s="161">
        <v>2.77</v>
      </c>
      <c r="E12" s="162"/>
      <c r="F12" s="160"/>
      <c r="G12" s="160"/>
      <c r="H12" s="163"/>
    </row>
    <row r="13" spans="1:9" ht="16" x14ac:dyDescent="0.2">
      <c r="A13" s="176" t="s">
        <v>131</v>
      </c>
      <c r="B13" t="s">
        <v>53</v>
      </c>
      <c r="C13">
        <v>2006</v>
      </c>
      <c r="D13" s="84">
        <v>2.5</v>
      </c>
      <c r="E13" s="150"/>
      <c r="H13" s="158"/>
    </row>
    <row r="14" spans="1:9" ht="16" x14ac:dyDescent="0.2">
      <c r="A14" s="176" t="s">
        <v>188</v>
      </c>
      <c r="B14" t="s">
        <v>40</v>
      </c>
      <c r="C14">
        <v>2006</v>
      </c>
      <c r="D14" s="84">
        <v>5</v>
      </c>
      <c r="H14" s="158"/>
    </row>
    <row r="15" spans="1:9" ht="17" thickBot="1" x14ac:dyDescent="0.25">
      <c r="A15" s="159" t="s">
        <v>89</v>
      </c>
      <c r="B15" s="160" t="s">
        <v>43</v>
      </c>
      <c r="C15" s="160">
        <v>2006</v>
      </c>
      <c r="D15" s="161">
        <v>40</v>
      </c>
      <c r="E15" s="162"/>
      <c r="F15" s="160"/>
      <c r="G15" s="160"/>
      <c r="H15" s="163"/>
    </row>
    <row r="16" spans="1:9" x14ac:dyDescent="0.2">
      <c r="A16" s="152" t="s">
        <v>60</v>
      </c>
      <c r="B16" s="153" t="s">
        <v>17</v>
      </c>
      <c r="C16" s="153">
        <v>2007</v>
      </c>
      <c r="D16" s="154">
        <v>30</v>
      </c>
      <c r="E16" s="164"/>
      <c r="F16" s="153" t="s">
        <v>133</v>
      </c>
      <c r="G16" s="153" t="s">
        <v>65</v>
      </c>
      <c r="H16" s="156"/>
    </row>
    <row r="17" spans="1:8" x14ac:dyDescent="0.2">
      <c r="A17" s="157" t="s">
        <v>60</v>
      </c>
      <c r="B17" t="s">
        <v>17</v>
      </c>
      <c r="C17">
        <v>2007</v>
      </c>
      <c r="D17" s="84">
        <v>30</v>
      </c>
      <c r="F17" t="s">
        <v>133</v>
      </c>
      <c r="G17" t="s">
        <v>187</v>
      </c>
      <c r="H17" s="158"/>
    </row>
    <row r="18" spans="1:8" ht="16" thickBot="1" x14ac:dyDescent="0.25">
      <c r="A18" s="157" t="s">
        <v>60</v>
      </c>
      <c r="B18" t="s">
        <v>17</v>
      </c>
      <c r="C18">
        <v>2007</v>
      </c>
      <c r="D18" s="84">
        <v>30</v>
      </c>
      <c r="F18" t="s">
        <v>133</v>
      </c>
      <c r="G18" t="s">
        <v>127</v>
      </c>
      <c r="H18" s="158"/>
    </row>
    <row r="19" spans="1:8" ht="16" thickBot="1" x14ac:dyDescent="0.25">
      <c r="A19" s="157" t="s">
        <v>60</v>
      </c>
      <c r="B19" t="s">
        <v>53</v>
      </c>
      <c r="C19">
        <v>2007</v>
      </c>
      <c r="D19" s="220">
        <v>1.4</v>
      </c>
      <c r="F19" t="s">
        <v>134</v>
      </c>
      <c r="H19" s="158"/>
    </row>
    <row r="20" spans="1:8" x14ac:dyDescent="0.2">
      <c r="A20" s="157" t="s">
        <v>60</v>
      </c>
      <c r="B20" t="s">
        <v>40</v>
      </c>
      <c r="C20">
        <v>2007</v>
      </c>
      <c r="D20" s="84">
        <v>5</v>
      </c>
      <c r="E20" s="149"/>
      <c r="F20" t="s">
        <v>134</v>
      </c>
      <c r="H20" s="158"/>
    </row>
    <row r="21" spans="1:8" x14ac:dyDescent="0.2">
      <c r="A21" s="157" t="s">
        <v>60</v>
      </c>
      <c r="B21" t="s">
        <v>59</v>
      </c>
      <c r="C21">
        <v>2007</v>
      </c>
      <c r="D21" s="84">
        <v>8</v>
      </c>
      <c r="E21" s="149"/>
      <c r="F21" t="s">
        <v>134</v>
      </c>
      <c r="H21" s="158"/>
    </row>
    <row r="22" spans="1:8" x14ac:dyDescent="0.2">
      <c r="A22" s="157" t="s">
        <v>60</v>
      </c>
      <c r="B22" t="s">
        <v>37</v>
      </c>
      <c r="C22">
        <v>2007</v>
      </c>
      <c r="D22" s="84">
        <v>9.4</v>
      </c>
      <c r="E22" s="149"/>
      <c r="F22" t="s">
        <v>134</v>
      </c>
      <c r="H22" s="158"/>
    </row>
    <row r="23" spans="1:8" x14ac:dyDescent="0.2">
      <c r="A23" s="157" t="s">
        <v>60</v>
      </c>
      <c r="B23" t="s">
        <v>55</v>
      </c>
      <c r="C23">
        <v>2007</v>
      </c>
      <c r="D23" s="84">
        <v>4.5999999999999996</v>
      </c>
      <c r="E23" s="122"/>
      <c r="F23" t="s">
        <v>134</v>
      </c>
      <c r="H23" s="158"/>
    </row>
    <row r="24" spans="1:8" x14ac:dyDescent="0.2">
      <c r="A24" s="157" t="s">
        <v>60</v>
      </c>
      <c r="B24" t="s">
        <v>52</v>
      </c>
      <c r="C24">
        <v>2007</v>
      </c>
      <c r="D24" s="84">
        <v>6.3</v>
      </c>
      <c r="H24" s="158"/>
    </row>
    <row r="25" spans="1:8" x14ac:dyDescent="0.2">
      <c r="A25" s="157" t="s">
        <v>60</v>
      </c>
      <c r="B25" t="s">
        <v>43</v>
      </c>
      <c r="C25">
        <v>2007</v>
      </c>
      <c r="D25" s="84">
        <v>5</v>
      </c>
      <c r="H25" s="158"/>
    </row>
    <row r="26" spans="1:8" x14ac:dyDescent="0.2">
      <c r="A26" s="157" t="s">
        <v>60</v>
      </c>
      <c r="B26" t="s">
        <v>57</v>
      </c>
      <c r="C26">
        <v>2007</v>
      </c>
      <c r="D26" s="84">
        <v>8.9</v>
      </c>
      <c r="E26" s="122"/>
      <c r="F26" t="s">
        <v>134</v>
      </c>
      <c r="H26" s="158"/>
    </row>
    <row r="27" spans="1:8" ht="16" thickBot="1" x14ac:dyDescent="0.25">
      <c r="A27" s="177" t="s">
        <v>151</v>
      </c>
      <c r="B27" s="11" t="s">
        <v>53</v>
      </c>
      <c r="C27" s="11">
        <v>2007</v>
      </c>
      <c r="D27" s="131">
        <v>2</v>
      </c>
      <c r="E27" s="180"/>
      <c r="F27" s="11"/>
      <c r="G27" s="11"/>
      <c r="H27" s="178"/>
    </row>
    <row r="28" spans="1:8" x14ac:dyDescent="0.2">
      <c r="A28" s="152" t="s">
        <v>36</v>
      </c>
      <c r="B28" s="153" t="s">
        <v>37</v>
      </c>
      <c r="C28" s="153">
        <v>2008</v>
      </c>
      <c r="D28" s="154">
        <v>20.100000000000001</v>
      </c>
      <c r="E28" s="155"/>
      <c r="F28" s="153"/>
      <c r="G28" s="153"/>
      <c r="H28" s="156"/>
    </row>
    <row r="29" spans="1:8" ht="16" thickBot="1" x14ac:dyDescent="0.25">
      <c r="A29" s="165" t="s">
        <v>153</v>
      </c>
      <c r="B29" s="160" t="s">
        <v>53</v>
      </c>
      <c r="C29" s="160">
        <v>2008</v>
      </c>
      <c r="D29" s="161">
        <v>1.5</v>
      </c>
      <c r="E29" s="179"/>
      <c r="F29" s="160"/>
      <c r="G29" s="160"/>
      <c r="H29" s="163"/>
    </row>
    <row r="30" spans="1:8" x14ac:dyDescent="0.2">
      <c r="A30" s="157" t="s">
        <v>41</v>
      </c>
      <c r="B30" t="s">
        <v>17</v>
      </c>
      <c r="C30">
        <v>2009</v>
      </c>
      <c r="D30" s="84">
        <v>30</v>
      </c>
      <c r="E30" s="125"/>
      <c r="F30" t="s">
        <v>133</v>
      </c>
      <c r="G30" t="s">
        <v>62</v>
      </c>
      <c r="H30" s="158"/>
    </row>
    <row r="31" spans="1:8" x14ac:dyDescent="0.2">
      <c r="A31" s="157" t="s">
        <v>41</v>
      </c>
      <c r="B31" t="s">
        <v>17</v>
      </c>
      <c r="C31">
        <v>2009</v>
      </c>
      <c r="D31" s="84">
        <v>30</v>
      </c>
      <c r="E31" s="125"/>
      <c r="F31" t="s">
        <v>133</v>
      </c>
      <c r="G31" t="s">
        <v>49</v>
      </c>
      <c r="H31" s="158"/>
    </row>
    <row r="32" spans="1:8" x14ac:dyDescent="0.2">
      <c r="A32" s="157" t="s">
        <v>41</v>
      </c>
      <c r="B32" t="s">
        <v>17</v>
      </c>
      <c r="C32">
        <v>2009</v>
      </c>
      <c r="D32" s="84">
        <v>30</v>
      </c>
      <c r="E32" s="125"/>
      <c r="F32" t="s">
        <v>133</v>
      </c>
      <c r="G32" t="s">
        <v>67</v>
      </c>
      <c r="H32" s="158"/>
    </row>
    <row r="33" spans="1:8" x14ac:dyDescent="0.2">
      <c r="A33" s="157" t="s">
        <v>41</v>
      </c>
      <c r="B33" t="s">
        <v>17</v>
      </c>
      <c r="C33">
        <v>2009</v>
      </c>
      <c r="D33" s="84">
        <v>30</v>
      </c>
      <c r="E33" s="125"/>
      <c r="F33" t="s">
        <v>133</v>
      </c>
      <c r="G33" t="s">
        <v>48</v>
      </c>
      <c r="H33" s="158"/>
    </row>
    <row r="34" spans="1:8" x14ac:dyDescent="0.2">
      <c r="A34" s="157" t="s">
        <v>41</v>
      </c>
      <c r="B34" t="s">
        <v>11</v>
      </c>
      <c r="C34">
        <v>2009</v>
      </c>
      <c r="D34" s="84">
        <v>2.5</v>
      </c>
      <c r="F34" t="s">
        <v>134</v>
      </c>
      <c r="H34" s="158"/>
    </row>
    <row r="35" spans="1:8" x14ac:dyDescent="0.2">
      <c r="A35" s="157" t="s">
        <v>41</v>
      </c>
      <c r="B35" t="s">
        <v>54</v>
      </c>
      <c r="C35">
        <v>2009</v>
      </c>
      <c r="D35" s="84">
        <v>4</v>
      </c>
      <c r="F35" t="s">
        <v>134</v>
      </c>
      <c r="H35" s="158"/>
    </row>
    <row r="36" spans="1:8" x14ac:dyDescent="0.2">
      <c r="A36" s="157" t="s">
        <v>41</v>
      </c>
      <c r="B36" t="s">
        <v>57</v>
      </c>
      <c r="C36">
        <v>2009</v>
      </c>
      <c r="D36" s="84">
        <v>5</v>
      </c>
      <c r="F36" t="s">
        <v>134</v>
      </c>
      <c r="H36" s="158"/>
    </row>
    <row r="37" spans="1:8" ht="16" thickBot="1" x14ac:dyDescent="0.25">
      <c r="A37" s="166" t="s">
        <v>41</v>
      </c>
      <c r="B37" s="15" t="s">
        <v>40</v>
      </c>
      <c r="C37" s="15">
        <v>2009</v>
      </c>
      <c r="D37" s="84">
        <v>5</v>
      </c>
      <c r="E37" s="126"/>
      <c r="F37" s="15" t="s">
        <v>134</v>
      </c>
      <c r="G37" s="15"/>
      <c r="H37" s="167"/>
    </row>
    <row r="38" spans="1:8" ht="16" thickBot="1" x14ac:dyDescent="0.25">
      <c r="A38" s="157" t="s">
        <v>136</v>
      </c>
      <c r="B38" t="s">
        <v>58</v>
      </c>
      <c r="C38">
        <v>2009</v>
      </c>
      <c r="D38" s="220">
        <v>1.2749999999999999</v>
      </c>
      <c r="E38" s="149"/>
      <c r="H38" s="158"/>
    </row>
    <row r="39" spans="1:8" ht="16" thickBot="1" x14ac:dyDescent="0.25">
      <c r="A39" s="157" t="s">
        <v>142</v>
      </c>
      <c r="B39" t="s">
        <v>11</v>
      </c>
      <c r="C39">
        <v>2009</v>
      </c>
      <c r="D39" s="220">
        <v>1</v>
      </c>
      <c r="E39" s="149"/>
      <c r="H39" s="158"/>
    </row>
    <row r="40" spans="1:8" x14ac:dyDescent="0.2">
      <c r="A40" s="157" t="s">
        <v>157</v>
      </c>
      <c r="B40" t="s">
        <v>53</v>
      </c>
      <c r="C40">
        <v>2009</v>
      </c>
      <c r="D40" s="84">
        <v>1.6</v>
      </c>
      <c r="E40" s="149"/>
      <c r="H40" s="158"/>
    </row>
    <row r="41" spans="1:8" x14ac:dyDescent="0.2">
      <c r="A41" s="157" t="s">
        <v>50</v>
      </c>
      <c r="B41" t="s">
        <v>43</v>
      </c>
      <c r="C41">
        <v>2009</v>
      </c>
      <c r="D41" s="84">
        <v>2</v>
      </c>
      <c r="E41" s="149"/>
      <c r="H41" s="158"/>
    </row>
    <row r="42" spans="1:8" x14ac:dyDescent="0.2">
      <c r="A42" s="157" t="s">
        <v>50</v>
      </c>
      <c r="B42" t="s">
        <v>40</v>
      </c>
      <c r="C42">
        <v>2009</v>
      </c>
      <c r="D42" s="84">
        <v>5</v>
      </c>
      <c r="E42" s="149"/>
      <c r="H42" s="158"/>
    </row>
    <row r="43" spans="1:8" ht="16" thickBot="1" x14ac:dyDescent="0.25">
      <c r="A43" s="165" t="s">
        <v>50</v>
      </c>
      <c r="B43" s="160" t="s">
        <v>40</v>
      </c>
      <c r="C43" s="160">
        <v>2009</v>
      </c>
      <c r="D43" s="161">
        <v>5</v>
      </c>
      <c r="E43" s="162"/>
      <c r="F43" s="160"/>
      <c r="G43" s="160"/>
      <c r="H43" s="163"/>
    </row>
    <row r="44" spans="1:8" x14ac:dyDescent="0.2">
      <c r="A44" s="157" t="s">
        <v>138</v>
      </c>
      <c r="B44" t="s">
        <v>54</v>
      </c>
      <c r="C44">
        <v>2010</v>
      </c>
      <c r="D44" s="84">
        <v>2.5</v>
      </c>
      <c r="E44" s="150"/>
      <c r="H44" s="158"/>
    </row>
    <row r="45" spans="1:8" x14ac:dyDescent="0.2">
      <c r="A45" s="157" t="s">
        <v>140</v>
      </c>
      <c r="B45" t="s">
        <v>17</v>
      </c>
      <c r="C45">
        <v>2010</v>
      </c>
      <c r="D45" s="84" t="s">
        <v>141</v>
      </c>
      <c r="E45" s="175"/>
      <c r="H45" s="158"/>
    </row>
    <row r="46" spans="1:8" x14ac:dyDescent="0.2">
      <c r="A46" s="157" t="s">
        <v>147</v>
      </c>
      <c r="B46" t="s">
        <v>40</v>
      </c>
      <c r="C46">
        <v>2010</v>
      </c>
      <c r="D46" s="84">
        <v>5</v>
      </c>
      <c r="E46" s="175"/>
      <c r="H46" s="158"/>
    </row>
    <row r="47" spans="1:8" x14ac:dyDescent="0.2">
      <c r="A47" s="157" t="s">
        <v>149</v>
      </c>
      <c r="B47" t="s">
        <v>59</v>
      </c>
      <c r="C47">
        <v>2010</v>
      </c>
      <c r="D47" s="84">
        <v>4</v>
      </c>
      <c r="E47" s="175"/>
      <c r="H47" s="158"/>
    </row>
    <row r="48" spans="1:8" ht="16" thickBot="1" x14ac:dyDescent="0.25">
      <c r="A48" s="157" t="s">
        <v>152</v>
      </c>
      <c r="B48" t="s">
        <v>37</v>
      </c>
      <c r="C48">
        <v>2010</v>
      </c>
      <c r="D48" s="84">
        <v>20</v>
      </c>
      <c r="E48" s="175"/>
      <c r="H48" s="158"/>
    </row>
    <row r="49" spans="1:11" ht="16" thickBot="1" x14ac:dyDescent="0.25">
      <c r="A49" s="157" t="s">
        <v>148</v>
      </c>
      <c r="B49" t="s">
        <v>12</v>
      </c>
      <c r="C49">
        <v>2010</v>
      </c>
      <c r="D49" s="220">
        <v>1</v>
      </c>
      <c r="E49" s="175"/>
      <c r="H49" s="158"/>
    </row>
    <row r="50" spans="1:11" ht="16" thickBot="1" x14ac:dyDescent="0.25">
      <c r="A50" s="157" t="s">
        <v>146</v>
      </c>
      <c r="B50" t="s">
        <v>58</v>
      </c>
      <c r="C50">
        <v>2010</v>
      </c>
      <c r="D50" s="221">
        <v>1</v>
      </c>
      <c r="E50" s="175"/>
      <c r="H50" s="158"/>
    </row>
    <row r="51" spans="1:11" x14ac:dyDescent="0.2">
      <c r="A51" s="157" t="s">
        <v>139</v>
      </c>
      <c r="B51" t="s">
        <v>53</v>
      </c>
      <c r="C51">
        <v>2010</v>
      </c>
      <c r="D51" s="84">
        <v>1.6</v>
      </c>
      <c r="E51" s="150"/>
      <c r="H51" s="158"/>
    </row>
    <row r="52" spans="1:11" x14ac:dyDescent="0.2">
      <c r="A52" s="157" t="s">
        <v>137</v>
      </c>
      <c r="B52" t="s">
        <v>43</v>
      </c>
      <c r="C52">
        <v>2010</v>
      </c>
      <c r="D52" s="84">
        <v>4</v>
      </c>
      <c r="H52" s="158"/>
    </row>
    <row r="53" spans="1:11" ht="16" thickBot="1" x14ac:dyDescent="0.25">
      <c r="A53" s="157" t="s">
        <v>137</v>
      </c>
      <c r="B53" t="s">
        <v>43</v>
      </c>
      <c r="C53">
        <v>2010</v>
      </c>
      <c r="D53" s="84">
        <v>4</v>
      </c>
      <c r="E53" s="150"/>
      <c r="H53" s="158"/>
    </row>
    <row r="54" spans="1:11" x14ac:dyDescent="0.2">
      <c r="A54" s="152" t="s">
        <v>119</v>
      </c>
      <c r="B54" s="153" t="s">
        <v>40</v>
      </c>
      <c r="C54" s="153">
        <v>2011</v>
      </c>
      <c r="D54" s="154">
        <v>5</v>
      </c>
      <c r="E54" s="155"/>
      <c r="F54" s="153"/>
      <c r="G54" s="153"/>
      <c r="H54" s="156"/>
    </row>
    <row r="55" spans="1:11" x14ac:dyDescent="0.2">
      <c r="A55" s="157" t="s">
        <v>155</v>
      </c>
      <c r="B55" t="s">
        <v>17</v>
      </c>
      <c r="C55">
        <v>2011</v>
      </c>
      <c r="D55" s="84" t="s">
        <v>156</v>
      </c>
      <c r="E55" s="150"/>
      <c r="H55" s="158"/>
    </row>
    <row r="56" spans="1:11" ht="16" thickBot="1" x14ac:dyDescent="0.25">
      <c r="A56" s="165" t="s">
        <v>51</v>
      </c>
      <c r="B56" s="160" t="s">
        <v>52</v>
      </c>
      <c r="C56" s="160">
        <v>2011</v>
      </c>
      <c r="D56" s="161">
        <v>4</v>
      </c>
      <c r="E56" s="162"/>
      <c r="F56" s="160"/>
      <c r="G56" s="160"/>
      <c r="H56" s="163" t="s">
        <v>125</v>
      </c>
    </row>
    <row r="57" spans="1:11" x14ac:dyDescent="0.2">
      <c r="A57" s="152" t="s">
        <v>166</v>
      </c>
      <c r="B57" s="153" t="s">
        <v>40</v>
      </c>
      <c r="C57" s="153">
        <v>2012</v>
      </c>
      <c r="D57" s="154">
        <v>5</v>
      </c>
      <c r="E57" s="153"/>
      <c r="F57" s="153"/>
      <c r="G57" s="153"/>
      <c r="H57" s="156"/>
    </row>
    <row r="58" spans="1:11" x14ac:dyDescent="0.2">
      <c r="A58" s="157" t="s">
        <v>39</v>
      </c>
      <c r="B58" t="s">
        <v>40</v>
      </c>
      <c r="C58">
        <v>2012</v>
      </c>
      <c r="D58" s="84">
        <v>5</v>
      </c>
      <c r="E58" s="125"/>
      <c r="F58" t="s">
        <v>135</v>
      </c>
      <c r="H58" s="158"/>
    </row>
    <row r="59" spans="1:11" x14ac:dyDescent="0.2">
      <c r="A59" s="157" t="s">
        <v>39</v>
      </c>
      <c r="B59" t="s">
        <v>57</v>
      </c>
      <c r="C59">
        <v>2012</v>
      </c>
      <c r="D59" s="84">
        <v>11</v>
      </c>
      <c r="H59" s="158"/>
    </row>
    <row r="60" spans="1:11" x14ac:dyDescent="0.2">
      <c r="A60" s="157" t="s">
        <v>39</v>
      </c>
      <c r="B60" t="s">
        <v>43</v>
      </c>
      <c r="C60">
        <v>2012</v>
      </c>
      <c r="D60" s="84">
        <v>15</v>
      </c>
      <c r="E60" s="125"/>
      <c r="F60" t="s">
        <v>135</v>
      </c>
      <c r="H60" s="158"/>
    </row>
    <row r="61" spans="1:11" x14ac:dyDescent="0.2">
      <c r="A61" s="157" t="s">
        <v>39</v>
      </c>
      <c r="B61" t="s">
        <v>37</v>
      </c>
      <c r="C61">
        <v>2012</v>
      </c>
      <c r="D61" s="84">
        <v>10</v>
      </c>
      <c r="E61" s="84"/>
      <c r="F61" t="s">
        <v>135</v>
      </c>
      <c r="H61" s="158"/>
    </row>
    <row r="62" spans="1:11" x14ac:dyDescent="0.2">
      <c r="A62" s="157" t="s">
        <v>39</v>
      </c>
      <c r="B62" t="s">
        <v>17</v>
      </c>
      <c r="C62">
        <v>2012</v>
      </c>
      <c r="D62" s="84">
        <v>30</v>
      </c>
      <c r="E62" s="125"/>
      <c r="F62" t="s">
        <v>133</v>
      </c>
      <c r="G62" t="s">
        <v>48</v>
      </c>
      <c r="H62" s="158"/>
      <c r="K62" s="4"/>
    </row>
    <row r="63" spans="1:11" x14ac:dyDescent="0.2">
      <c r="A63" s="157" t="s">
        <v>39</v>
      </c>
      <c r="B63" t="s">
        <v>17</v>
      </c>
      <c r="C63">
        <v>2012</v>
      </c>
      <c r="D63" s="84">
        <v>30</v>
      </c>
      <c r="E63" s="125"/>
      <c r="F63" t="s">
        <v>133</v>
      </c>
      <c r="G63" t="s">
        <v>62</v>
      </c>
      <c r="H63" s="158"/>
      <c r="K63" s="4"/>
    </row>
    <row r="64" spans="1:11" x14ac:dyDescent="0.2">
      <c r="A64" s="157" t="s">
        <v>39</v>
      </c>
      <c r="B64" t="s">
        <v>17</v>
      </c>
      <c r="C64">
        <v>2012</v>
      </c>
      <c r="D64" s="84">
        <v>30</v>
      </c>
      <c r="E64" s="125"/>
      <c r="F64" t="s">
        <v>133</v>
      </c>
      <c r="G64" t="s">
        <v>67</v>
      </c>
      <c r="H64" s="158"/>
      <c r="K64" s="4"/>
    </row>
    <row r="65" spans="1:11" x14ac:dyDescent="0.2">
      <c r="A65" s="157" t="s">
        <v>39</v>
      </c>
      <c r="B65" t="s">
        <v>17</v>
      </c>
      <c r="C65">
        <v>2012</v>
      </c>
      <c r="D65" s="84">
        <v>30</v>
      </c>
      <c r="E65" s="125"/>
      <c r="F65" t="s">
        <v>133</v>
      </c>
      <c r="G65" t="s">
        <v>47</v>
      </c>
      <c r="H65" s="158"/>
      <c r="K65" s="4"/>
    </row>
    <row r="66" spans="1:11" x14ac:dyDescent="0.2">
      <c r="A66" s="166" t="s">
        <v>39</v>
      </c>
      <c r="B66" s="15" t="s">
        <v>17</v>
      </c>
      <c r="C66" s="15">
        <v>2012</v>
      </c>
      <c r="D66" s="132">
        <v>30</v>
      </c>
      <c r="E66" s="126"/>
      <c r="F66" s="15" t="s">
        <v>133</v>
      </c>
      <c r="G66" s="15" t="s">
        <v>49</v>
      </c>
      <c r="H66" s="167"/>
      <c r="K66" s="4"/>
    </row>
    <row r="67" spans="1:11" x14ac:dyDescent="0.2">
      <c r="A67" s="157" t="s">
        <v>86</v>
      </c>
      <c r="B67" t="s">
        <v>17</v>
      </c>
      <c r="C67">
        <v>2013</v>
      </c>
      <c r="D67" s="84">
        <v>11</v>
      </c>
      <c r="E67" s="28"/>
      <c r="F67" t="s">
        <v>124</v>
      </c>
      <c r="G67" t="s">
        <v>88</v>
      </c>
      <c r="H67" s="158"/>
      <c r="K67" s="4"/>
    </row>
    <row r="68" spans="1:11" x14ac:dyDescent="0.2">
      <c r="A68" s="157" t="s">
        <v>86</v>
      </c>
      <c r="B68" t="s">
        <v>17</v>
      </c>
      <c r="C68">
        <v>2013</v>
      </c>
      <c r="D68" s="84">
        <v>11</v>
      </c>
      <c r="E68" s="28"/>
      <c r="F68" t="s">
        <v>124</v>
      </c>
      <c r="G68" t="s">
        <v>170</v>
      </c>
      <c r="H68" s="158"/>
      <c r="K68" s="4"/>
    </row>
    <row r="69" spans="1:11" x14ac:dyDescent="0.2">
      <c r="A69" s="157" t="s">
        <v>86</v>
      </c>
      <c r="B69" t="s">
        <v>17</v>
      </c>
      <c r="C69">
        <v>2013</v>
      </c>
      <c r="D69" s="84">
        <v>11</v>
      </c>
      <c r="E69" s="28"/>
      <c r="F69" t="s">
        <v>124</v>
      </c>
      <c r="G69" t="s">
        <v>87</v>
      </c>
      <c r="H69" s="158"/>
      <c r="K69" s="4"/>
    </row>
    <row r="70" spans="1:11" x14ac:dyDescent="0.2">
      <c r="A70" s="157" t="s">
        <v>86</v>
      </c>
      <c r="B70" t="s">
        <v>37</v>
      </c>
      <c r="C70">
        <v>2013</v>
      </c>
      <c r="D70" s="84">
        <v>10</v>
      </c>
      <c r="E70" s="28"/>
      <c r="F70" t="s">
        <v>163</v>
      </c>
      <c r="H70" s="158"/>
      <c r="K70" s="4"/>
    </row>
    <row r="71" spans="1:11" ht="16" thickBot="1" x14ac:dyDescent="0.25">
      <c r="A71" s="157" t="s">
        <v>191</v>
      </c>
      <c r="B71" t="s">
        <v>43</v>
      </c>
      <c r="C71">
        <v>2013</v>
      </c>
      <c r="D71" s="84">
        <v>10</v>
      </c>
      <c r="E71" s="28"/>
      <c r="H71" s="158"/>
      <c r="K71" s="4"/>
    </row>
    <row r="72" spans="1:11" ht="16" thickBot="1" x14ac:dyDescent="0.25">
      <c r="A72" s="157" t="s">
        <v>120</v>
      </c>
      <c r="B72" t="s">
        <v>53</v>
      </c>
      <c r="C72">
        <v>2013</v>
      </c>
      <c r="D72" s="220">
        <v>1</v>
      </c>
      <c r="E72" s="28"/>
      <c r="H72" s="158"/>
      <c r="K72" s="4"/>
    </row>
    <row r="73" spans="1:11" x14ac:dyDescent="0.2">
      <c r="A73" s="157" t="s">
        <v>126</v>
      </c>
      <c r="B73" t="s">
        <v>52</v>
      </c>
      <c r="C73">
        <v>2013</v>
      </c>
      <c r="D73" s="84">
        <v>3.5</v>
      </c>
      <c r="E73" s="28"/>
      <c r="H73" s="158" t="s">
        <v>179</v>
      </c>
      <c r="K73" s="4"/>
    </row>
    <row r="74" spans="1:11" x14ac:dyDescent="0.2">
      <c r="A74" s="157" t="s">
        <v>121</v>
      </c>
      <c r="B74" t="s">
        <v>52</v>
      </c>
      <c r="C74">
        <v>2013</v>
      </c>
      <c r="D74" s="84">
        <v>20</v>
      </c>
      <c r="E74" s="28"/>
      <c r="H74" s="158"/>
      <c r="K74" s="4"/>
    </row>
    <row r="75" spans="1:11" x14ac:dyDescent="0.2">
      <c r="A75" s="157" t="s">
        <v>90</v>
      </c>
      <c r="B75" t="s">
        <v>40</v>
      </c>
      <c r="C75">
        <v>2013</v>
      </c>
      <c r="D75" s="84">
        <v>2</v>
      </c>
      <c r="E75" s="28"/>
      <c r="H75" s="158"/>
      <c r="K75" s="4"/>
    </row>
    <row r="76" spans="1:11" x14ac:dyDescent="0.2">
      <c r="A76" s="10" t="s">
        <v>182</v>
      </c>
      <c r="B76" s="11" t="s">
        <v>52</v>
      </c>
      <c r="C76" s="11">
        <v>2014</v>
      </c>
      <c r="D76" s="131">
        <v>5.3</v>
      </c>
      <c r="E76" s="226"/>
      <c r="F76" s="11"/>
      <c r="G76" s="11"/>
      <c r="H76" s="227" t="s">
        <v>183</v>
      </c>
      <c r="K76" s="4"/>
    </row>
    <row r="77" spans="1:11" x14ac:dyDescent="0.2">
      <c r="A77" s="13" t="s">
        <v>180</v>
      </c>
      <c r="B77" t="s">
        <v>181</v>
      </c>
      <c r="C77">
        <v>2014</v>
      </c>
      <c r="D77" s="84">
        <v>1.5</v>
      </c>
      <c r="E77" s="28"/>
      <c r="H77" s="228"/>
      <c r="K77" s="4"/>
    </row>
    <row r="78" spans="1:11" x14ac:dyDescent="0.2">
      <c r="A78" s="14" t="s">
        <v>178</v>
      </c>
      <c r="B78" s="15" t="s">
        <v>37</v>
      </c>
      <c r="C78" s="15">
        <v>2014</v>
      </c>
      <c r="D78" s="132">
        <v>3</v>
      </c>
      <c r="E78" s="224"/>
      <c r="F78" s="15"/>
      <c r="G78" s="15"/>
      <c r="H78" s="225"/>
      <c r="K78" s="4"/>
    </row>
    <row r="79" spans="1:11" x14ac:dyDescent="0.2">
      <c r="A79" s="157" t="s">
        <v>158</v>
      </c>
      <c r="B79" t="s">
        <v>17</v>
      </c>
      <c r="C79">
        <v>2015</v>
      </c>
      <c r="D79" s="84">
        <v>30</v>
      </c>
      <c r="E79" s="28"/>
      <c r="F79" t="s">
        <v>159</v>
      </c>
      <c r="G79" t="s">
        <v>21</v>
      </c>
      <c r="H79" s="158"/>
      <c r="K79" s="4"/>
    </row>
    <row r="80" spans="1:11" x14ac:dyDescent="0.2">
      <c r="A80" s="157" t="s">
        <v>158</v>
      </c>
      <c r="B80" t="s">
        <v>17</v>
      </c>
      <c r="C80">
        <v>2015</v>
      </c>
      <c r="D80" s="84">
        <v>30</v>
      </c>
      <c r="E80" s="28"/>
      <c r="F80" t="s">
        <v>159</v>
      </c>
      <c r="G80" t="s">
        <v>18</v>
      </c>
      <c r="H80" s="158"/>
      <c r="K80" s="4"/>
    </row>
    <row r="81" spans="1:11" x14ac:dyDescent="0.2">
      <c r="A81" s="157" t="s">
        <v>158</v>
      </c>
      <c r="B81" t="s">
        <v>17</v>
      </c>
      <c r="C81">
        <v>2015</v>
      </c>
      <c r="D81" s="84">
        <v>30</v>
      </c>
      <c r="E81" s="28"/>
      <c r="F81" t="s">
        <v>159</v>
      </c>
      <c r="G81" t="s">
        <v>22</v>
      </c>
      <c r="H81" s="158"/>
      <c r="K81" s="4"/>
    </row>
    <row r="82" spans="1:11" x14ac:dyDescent="0.2">
      <c r="A82" s="157" t="s">
        <v>158</v>
      </c>
      <c r="B82" t="s">
        <v>17</v>
      </c>
      <c r="C82">
        <v>2015</v>
      </c>
      <c r="D82" s="84">
        <v>30</v>
      </c>
      <c r="E82" s="28"/>
      <c r="F82" t="s">
        <v>159</v>
      </c>
      <c r="G82" t="s">
        <v>20</v>
      </c>
      <c r="H82" s="158"/>
      <c r="K82" s="4"/>
    </row>
    <row r="83" spans="1:11" x14ac:dyDescent="0.2">
      <c r="A83" s="166" t="s">
        <v>158</v>
      </c>
      <c r="B83" s="15" t="s">
        <v>17</v>
      </c>
      <c r="C83" s="15">
        <v>2015</v>
      </c>
      <c r="D83" s="132">
        <v>30</v>
      </c>
      <c r="E83" s="224"/>
      <c r="F83" s="15" t="s">
        <v>159</v>
      </c>
      <c r="G83" s="15" t="s">
        <v>23</v>
      </c>
      <c r="H83" s="167"/>
      <c r="K83" s="4"/>
    </row>
    <row r="84" spans="1:11" x14ac:dyDescent="0.2">
      <c r="A84" s="157" t="s">
        <v>171</v>
      </c>
      <c r="B84" t="s">
        <v>17</v>
      </c>
      <c r="C84">
        <v>2015</v>
      </c>
      <c r="D84" s="84">
        <v>30</v>
      </c>
      <c r="E84" s="28"/>
      <c r="F84" t="s">
        <v>159</v>
      </c>
      <c r="G84" t="s">
        <v>21</v>
      </c>
      <c r="H84" s="158"/>
      <c r="K84" s="4"/>
    </row>
    <row r="85" spans="1:11" x14ac:dyDescent="0.2">
      <c r="A85" s="157" t="s">
        <v>171</v>
      </c>
      <c r="B85" t="s">
        <v>17</v>
      </c>
      <c r="C85">
        <v>2015</v>
      </c>
      <c r="D85" s="84">
        <v>30</v>
      </c>
      <c r="E85" s="28"/>
      <c r="F85" t="s">
        <v>159</v>
      </c>
      <c r="G85" t="s">
        <v>20</v>
      </c>
      <c r="H85" s="158"/>
      <c r="K85" s="4"/>
    </row>
    <row r="86" spans="1:11" x14ac:dyDescent="0.2">
      <c r="A86" s="157" t="s">
        <v>171</v>
      </c>
      <c r="B86" t="s">
        <v>17</v>
      </c>
      <c r="C86">
        <v>2015</v>
      </c>
      <c r="D86" s="84">
        <v>30</v>
      </c>
      <c r="E86" s="28"/>
      <c r="F86" t="s">
        <v>159</v>
      </c>
      <c r="G86" t="s">
        <v>18</v>
      </c>
      <c r="H86" s="158"/>
      <c r="K86" s="4"/>
    </row>
    <row r="87" spans="1:11" x14ac:dyDescent="0.2">
      <c r="A87" s="157" t="s">
        <v>171</v>
      </c>
      <c r="B87" t="s">
        <v>37</v>
      </c>
      <c r="C87">
        <v>2015</v>
      </c>
      <c r="D87" s="84">
        <v>4</v>
      </c>
    </row>
    <row r="88" spans="1:11" ht="16" thickBot="1" x14ac:dyDescent="0.25">
      <c r="A88" s="10" t="s">
        <v>177</v>
      </c>
      <c r="B88" s="11" t="s">
        <v>57</v>
      </c>
      <c r="C88" s="11">
        <v>2016</v>
      </c>
      <c r="D88" s="131">
        <v>16</v>
      </c>
      <c r="E88" s="226"/>
      <c r="F88" s="11"/>
      <c r="G88" s="11"/>
      <c r="H88" s="227"/>
      <c r="K88" s="4"/>
    </row>
    <row r="89" spans="1:11" ht="16" thickBot="1" x14ac:dyDescent="0.25">
      <c r="A89" s="13" t="s">
        <v>184</v>
      </c>
      <c r="B89" t="s">
        <v>40</v>
      </c>
      <c r="C89">
        <v>2016</v>
      </c>
      <c r="D89" s="220">
        <v>1</v>
      </c>
      <c r="E89" s="28"/>
      <c r="H89" s="228"/>
      <c r="K89" s="4"/>
    </row>
    <row r="90" spans="1:11" x14ac:dyDescent="0.2">
      <c r="A90" s="13" t="s">
        <v>203</v>
      </c>
      <c r="B90" t="s">
        <v>37</v>
      </c>
      <c r="C90">
        <v>2016</v>
      </c>
      <c r="D90" s="84">
        <v>10</v>
      </c>
      <c r="E90" s="28"/>
      <c r="H90" s="228"/>
      <c r="K90" s="4"/>
    </row>
    <row r="91" spans="1:11" ht="16" thickBot="1" x14ac:dyDescent="0.25">
      <c r="A91" s="13" t="s">
        <v>174</v>
      </c>
      <c r="B91" t="s">
        <v>37</v>
      </c>
      <c r="C91">
        <v>2016</v>
      </c>
      <c r="D91" s="84">
        <v>10</v>
      </c>
      <c r="E91" s="28"/>
      <c r="H91" s="228"/>
      <c r="K91" s="4"/>
    </row>
    <row r="92" spans="1:11" ht="16" thickBot="1" x14ac:dyDescent="0.25">
      <c r="A92" s="240" t="s">
        <v>200</v>
      </c>
      <c r="B92" s="241" t="s">
        <v>201</v>
      </c>
      <c r="C92" s="241">
        <v>2017</v>
      </c>
      <c r="D92" s="220">
        <v>1</v>
      </c>
      <c r="E92" s="242"/>
      <c r="F92" s="241"/>
      <c r="G92" s="241"/>
      <c r="H92" s="243"/>
      <c r="K92" s="4"/>
    </row>
    <row r="93" spans="1:11" x14ac:dyDescent="0.2">
      <c r="A93" s="244" t="s">
        <v>173</v>
      </c>
      <c r="B93" s="245" t="s">
        <v>37</v>
      </c>
      <c r="C93" s="245">
        <v>2017</v>
      </c>
      <c r="D93" s="246">
        <v>10</v>
      </c>
      <c r="E93" s="247"/>
      <c r="F93" s="245"/>
      <c r="G93" s="245"/>
      <c r="H93" s="248"/>
      <c r="K93" s="4"/>
    </row>
    <row r="94" spans="1:11" x14ac:dyDescent="0.2">
      <c r="A94" s="13" t="s">
        <v>175</v>
      </c>
      <c r="B94" t="s">
        <v>17</v>
      </c>
      <c r="C94">
        <v>2018</v>
      </c>
      <c r="D94" s="84">
        <v>30</v>
      </c>
      <c r="E94" s="28"/>
      <c r="F94" t="s">
        <v>176</v>
      </c>
      <c r="G94" t="s">
        <v>18</v>
      </c>
      <c r="H94" s="228"/>
      <c r="K94" s="4"/>
    </row>
    <row r="95" spans="1:11" x14ac:dyDescent="0.2">
      <c r="A95" t="s">
        <v>175</v>
      </c>
      <c r="B95" t="s">
        <v>17</v>
      </c>
      <c r="C95">
        <v>2018</v>
      </c>
      <c r="D95" s="84">
        <v>30</v>
      </c>
      <c r="E95" s="28"/>
      <c r="F95" t="s">
        <v>176</v>
      </c>
      <c r="G95" t="s">
        <v>21</v>
      </c>
      <c r="H95" s="228"/>
      <c r="K95" s="4"/>
    </row>
    <row r="96" spans="1:11" x14ac:dyDescent="0.2">
      <c r="A96" t="s">
        <v>198</v>
      </c>
      <c r="B96" t="s">
        <v>37</v>
      </c>
      <c r="C96">
        <v>2018</v>
      </c>
      <c r="D96" s="84">
        <v>15</v>
      </c>
      <c r="E96" s="28"/>
      <c r="H96" s="228"/>
      <c r="K96" s="4"/>
    </row>
    <row r="97" spans="1:11" x14ac:dyDescent="0.2">
      <c r="A97" t="s">
        <v>195</v>
      </c>
      <c r="B97" t="s">
        <v>57</v>
      </c>
      <c r="C97">
        <v>2018</v>
      </c>
      <c r="D97" s="84">
        <v>18</v>
      </c>
      <c r="H97" s="225"/>
      <c r="K97" s="4"/>
    </row>
    <row r="98" spans="1:11" x14ac:dyDescent="0.2">
      <c r="A98" s="10" t="s">
        <v>186</v>
      </c>
      <c r="B98" s="11" t="s">
        <v>17</v>
      </c>
      <c r="C98" s="11">
        <v>2019</v>
      </c>
      <c r="D98" s="131">
        <v>31</v>
      </c>
      <c r="E98" s="226"/>
      <c r="F98" s="11" t="s">
        <v>176</v>
      </c>
      <c r="G98" s="11" t="s">
        <v>18</v>
      </c>
      <c r="H98" s="227"/>
      <c r="K98" s="4"/>
    </row>
    <row r="99" spans="1:11" x14ac:dyDescent="0.2">
      <c r="A99" s="10" t="s">
        <v>190</v>
      </c>
      <c r="B99" s="11" t="s">
        <v>17</v>
      </c>
      <c r="C99" s="11">
        <v>2019</v>
      </c>
      <c r="D99" s="131">
        <v>30</v>
      </c>
      <c r="E99" s="226"/>
      <c r="F99" s="11" t="s">
        <v>176</v>
      </c>
      <c r="G99" s="11" t="s">
        <v>22</v>
      </c>
      <c r="H99" s="227"/>
      <c r="K99" s="4"/>
    </row>
    <row r="100" spans="1:11" x14ac:dyDescent="0.2">
      <c r="A100" s="13" t="s">
        <v>190</v>
      </c>
      <c r="B100" t="s">
        <v>17</v>
      </c>
      <c r="C100">
        <v>2019</v>
      </c>
      <c r="D100" s="84">
        <v>30</v>
      </c>
      <c r="E100" s="28"/>
      <c r="F100" t="s">
        <v>176</v>
      </c>
      <c r="G100" t="s">
        <v>20</v>
      </c>
      <c r="H100" s="228"/>
      <c r="K100" s="4"/>
    </row>
    <row r="101" spans="1:11" x14ac:dyDescent="0.2">
      <c r="A101" s="14" t="s">
        <v>190</v>
      </c>
      <c r="B101" s="15" t="s">
        <v>17</v>
      </c>
      <c r="C101" s="15">
        <v>2019</v>
      </c>
      <c r="D101" s="132">
        <v>30</v>
      </c>
      <c r="E101" s="224"/>
      <c r="F101" s="15" t="s">
        <v>176</v>
      </c>
      <c r="G101" s="15" t="s">
        <v>21</v>
      </c>
      <c r="H101" s="225"/>
      <c r="K101" s="4"/>
    </row>
    <row r="102" spans="1:11" x14ac:dyDescent="0.2">
      <c r="A102" s="10" t="s">
        <v>197</v>
      </c>
      <c r="B102" s="11" t="s">
        <v>17</v>
      </c>
      <c r="C102" s="11">
        <v>2020</v>
      </c>
      <c r="D102" s="131">
        <v>30</v>
      </c>
      <c r="E102" s="226"/>
      <c r="F102" s="11" t="s">
        <v>176</v>
      </c>
      <c r="G102" s="11" t="s">
        <v>23</v>
      </c>
      <c r="H102" s="227"/>
      <c r="K102" s="4"/>
    </row>
    <row r="103" spans="1:11" x14ac:dyDescent="0.2">
      <c r="A103" s="14" t="s">
        <v>197</v>
      </c>
      <c r="B103" s="15" t="s">
        <v>17</v>
      </c>
      <c r="C103" s="15">
        <v>2020</v>
      </c>
      <c r="D103" s="132">
        <v>30</v>
      </c>
      <c r="E103" s="224"/>
      <c r="F103" s="15" t="s">
        <v>176</v>
      </c>
      <c r="G103" s="15" t="s">
        <v>18</v>
      </c>
      <c r="H103" s="225"/>
      <c r="K103" s="4"/>
    </row>
    <row r="104" spans="1:11" x14ac:dyDescent="0.2">
      <c r="A104" s="14" t="s">
        <v>199</v>
      </c>
      <c r="B104" s="15" t="s">
        <v>37</v>
      </c>
      <c r="C104" s="15">
        <v>2020</v>
      </c>
      <c r="D104" s="132">
        <v>18</v>
      </c>
      <c r="E104" s="224"/>
      <c r="F104" s="15"/>
      <c r="G104" s="15"/>
      <c r="H104" s="225"/>
      <c r="K104" s="4"/>
    </row>
    <row r="105" spans="1:11" x14ac:dyDescent="0.2">
      <c r="A105" s="14" t="s">
        <v>202</v>
      </c>
      <c r="B105" s="15" t="s">
        <v>37</v>
      </c>
      <c r="C105" s="15">
        <v>2021</v>
      </c>
      <c r="D105" s="132">
        <v>7.5</v>
      </c>
      <c r="E105" s="224"/>
      <c r="F105" s="15"/>
      <c r="G105" s="15"/>
      <c r="H105" s="225"/>
      <c r="K105" s="4"/>
    </row>
    <row r="106" spans="1:11" x14ac:dyDescent="0.2">
      <c r="A106" s="14" t="s">
        <v>205</v>
      </c>
      <c r="B106" s="15" t="s">
        <v>17</v>
      </c>
      <c r="C106" s="15">
        <v>2022</v>
      </c>
      <c r="D106" s="132">
        <v>3.5</v>
      </c>
      <c r="E106" s="224"/>
      <c r="F106" s="15" t="s">
        <v>176</v>
      </c>
      <c r="G106" s="15" t="s">
        <v>21</v>
      </c>
      <c r="H106" s="225"/>
      <c r="K106" s="4"/>
    </row>
    <row r="107" spans="1:11" x14ac:dyDescent="0.2">
      <c r="B107" s="1" t="s">
        <v>80</v>
      </c>
      <c r="C107" s="1">
        <f>COUNT(C3:C93)</f>
        <v>91</v>
      </c>
    </row>
    <row r="108" spans="1:11" x14ac:dyDescent="0.2">
      <c r="B108" s="1" t="s">
        <v>78</v>
      </c>
      <c r="C108" s="1">
        <f>C107*2</f>
        <v>182</v>
      </c>
    </row>
    <row r="110" spans="1:11" x14ac:dyDescent="0.2">
      <c r="A110" s="2" t="s">
        <v>66</v>
      </c>
      <c r="C110" s="84"/>
      <c r="D110"/>
    </row>
    <row r="111" spans="1:11" x14ac:dyDescent="0.2">
      <c r="A111" s="1" t="s">
        <v>0</v>
      </c>
      <c r="B111" s="1" t="s">
        <v>16</v>
      </c>
      <c r="C111" s="119" t="s">
        <v>38</v>
      </c>
      <c r="D111" s="1" t="s">
        <v>91</v>
      </c>
      <c r="E111" s="1" t="s">
        <v>122</v>
      </c>
    </row>
    <row r="112" spans="1:11" x14ac:dyDescent="0.2">
      <c r="A112" s="10" t="s">
        <v>31</v>
      </c>
      <c r="B112" s="11">
        <v>2006</v>
      </c>
      <c r="C112" s="131">
        <v>30</v>
      </c>
      <c r="D112" s="29" t="s">
        <v>62</v>
      </c>
      <c r="E112" s="127"/>
    </row>
    <row r="113" spans="1:12" x14ac:dyDescent="0.2">
      <c r="A113" s="12"/>
      <c r="B113" s="1"/>
      <c r="C113" s="119"/>
      <c r="D113" s="30" t="s">
        <v>67</v>
      </c>
      <c r="E113" s="39"/>
    </row>
    <row r="114" spans="1:12" x14ac:dyDescent="0.2">
      <c r="A114" s="12"/>
      <c r="B114" s="1"/>
      <c r="C114" s="119"/>
      <c r="D114" s="31" t="s">
        <v>68</v>
      </c>
      <c r="E114" s="39"/>
    </row>
    <row r="115" spans="1:12" x14ac:dyDescent="0.2">
      <c r="A115" s="13"/>
      <c r="B115" s="1"/>
      <c r="C115" s="119"/>
      <c r="D115" s="31" t="s">
        <v>44</v>
      </c>
      <c r="E115" s="128"/>
    </row>
    <row r="116" spans="1:12" x14ac:dyDescent="0.2">
      <c r="A116" s="14"/>
      <c r="B116" s="15"/>
      <c r="C116" s="132"/>
      <c r="D116" s="32" t="s">
        <v>49</v>
      </c>
      <c r="E116" s="129"/>
      <c r="F116" s="8" t="s">
        <v>19</v>
      </c>
      <c r="G116" s="8" t="s">
        <v>19</v>
      </c>
    </row>
    <row r="117" spans="1:12" x14ac:dyDescent="0.2">
      <c r="A117" s="10" t="s">
        <v>29</v>
      </c>
      <c r="B117" s="11">
        <v>2007</v>
      </c>
      <c r="C117" s="131">
        <v>30</v>
      </c>
      <c r="D117" s="33" t="s">
        <v>69</v>
      </c>
      <c r="E117" s="38"/>
      <c r="F117" s="8" t="s">
        <v>24</v>
      </c>
      <c r="G117" s="8" t="s">
        <v>24</v>
      </c>
    </row>
    <row r="118" spans="1:12" s="4" customFormat="1" x14ac:dyDescent="0.2">
      <c r="A118" s="12"/>
      <c r="B118" s="1"/>
      <c r="C118" s="119"/>
      <c r="D118" s="31" t="s">
        <v>70</v>
      </c>
      <c r="E118" s="128"/>
      <c r="F118" s="8" t="s">
        <v>27</v>
      </c>
      <c r="G118" s="8" t="s">
        <v>27</v>
      </c>
      <c r="H118"/>
      <c r="I118"/>
      <c r="K118"/>
      <c r="L118"/>
    </row>
    <row r="119" spans="1:12" x14ac:dyDescent="0.2">
      <c r="A119" s="12"/>
      <c r="B119" s="1"/>
      <c r="C119" s="119"/>
      <c r="D119" s="31" t="s">
        <v>45</v>
      </c>
      <c r="E119" s="128"/>
      <c r="F119" s="8" t="s">
        <v>28</v>
      </c>
      <c r="G119" s="8" t="s">
        <v>28</v>
      </c>
    </row>
    <row r="120" spans="1:12" x14ac:dyDescent="0.2">
      <c r="A120" s="13"/>
      <c r="B120" s="1"/>
      <c r="C120" s="119"/>
      <c r="D120" s="31" t="s">
        <v>47</v>
      </c>
      <c r="E120" s="128"/>
      <c r="F120" s="8" t="s">
        <v>26</v>
      </c>
      <c r="G120" s="8" t="s">
        <v>26</v>
      </c>
    </row>
    <row r="121" spans="1:12" x14ac:dyDescent="0.2">
      <c r="A121" s="14"/>
      <c r="B121" s="15"/>
      <c r="C121" s="132"/>
      <c r="D121" s="32" t="s">
        <v>64</v>
      </c>
      <c r="E121" s="129"/>
      <c r="F121" s="8" t="s">
        <v>25</v>
      </c>
      <c r="G121" s="8" t="s">
        <v>25</v>
      </c>
    </row>
    <row r="122" spans="1:12" x14ac:dyDescent="0.2">
      <c r="A122" s="10" t="s">
        <v>34</v>
      </c>
      <c r="B122" s="11">
        <v>2008</v>
      </c>
      <c r="C122" s="131">
        <v>30</v>
      </c>
      <c r="D122" s="29" t="s">
        <v>71</v>
      </c>
      <c r="E122" s="127"/>
    </row>
    <row r="123" spans="1:12" x14ac:dyDescent="0.2">
      <c r="A123" s="13"/>
      <c r="C123" s="84"/>
      <c r="D123" s="31" t="s">
        <v>63</v>
      </c>
      <c r="E123" s="128"/>
    </row>
    <row r="124" spans="1:12" x14ac:dyDescent="0.2">
      <c r="A124" s="13"/>
      <c r="C124" s="84"/>
      <c r="D124" s="31" t="s">
        <v>46</v>
      </c>
      <c r="E124" s="128"/>
    </row>
    <row r="125" spans="1:12" x14ac:dyDescent="0.2">
      <c r="A125" s="13"/>
      <c r="C125" s="84"/>
      <c r="D125" s="31" t="s">
        <v>47</v>
      </c>
      <c r="E125" s="128"/>
    </row>
    <row r="126" spans="1:12" x14ac:dyDescent="0.2">
      <c r="A126" s="14"/>
      <c r="B126" s="15"/>
      <c r="C126" s="132"/>
      <c r="D126" s="32" t="s">
        <v>49</v>
      </c>
      <c r="E126" s="129"/>
    </row>
    <row r="127" spans="1:12" x14ac:dyDescent="0.2">
      <c r="A127" s="10" t="s">
        <v>30</v>
      </c>
      <c r="B127" s="11">
        <v>2009</v>
      </c>
      <c r="C127" s="131">
        <v>30</v>
      </c>
      <c r="D127" s="35" t="s">
        <v>62</v>
      </c>
      <c r="E127" s="173"/>
    </row>
    <row r="128" spans="1:12" x14ac:dyDescent="0.2">
      <c r="A128" s="13"/>
      <c r="C128" s="84"/>
      <c r="D128" s="13" t="s">
        <v>67</v>
      </c>
      <c r="E128" s="170"/>
    </row>
    <row r="129" spans="1:5" x14ac:dyDescent="0.2">
      <c r="A129" s="13"/>
      <c r="C129" s="84"/>
      <c r="D129" s="34" t="s">
        <v>48</v>
      </c>
      <c r="E129" s="170"/>
    </row>
    <row r="130" spans="1:5" x14ac:dyDescent="0.2">
      <c r="A130" s="13"/>
      <c r="C130" s="84"/>
      <c r="D130" s="34" t="s">
        <v>47</v>
      </c>
      <c r="E130" s="171"/>
    </row>
    <row r="131" spans="1:5" x14ac:dyDescent="0.2">
      <c r="A131" s="14"/>
      <c r="B131" s="15"/>
      <c r="C131" s="132"/>
      <c r="D131" s="36" t="s">
        <v>49</v>
      </c>
      <c r="E131" s="174"/>
    </row>
    <row r="132" spans="1:5" x14ac:dyDescent="0.2">
      <c r="A132" s="13" t="s">
        <v>15</v>
      </c>
      <c r="B132">
        <v>2010</v>
      </c>
      <c r="C132" s="84"/>
      <c r="D132" s="13" t="s">
        <v>62</v>
      </c>
      <c r="E132" s="169"/>
    </row>
    <row r="133" spans="1:5" x14ac:dyDescent="0.2">
      <c r="A133" s="13"/>
      <c r="C133" s="84"/>
      <c r="D133" s="34" t="s">
        <v>67</v>
      </c>
      <c r="E133" s="170"/>
    </row>
    <row r="134" spans="1:5" x14ac:dyDescent="0.2">
      <c r="A134" s="13"/>
      <c r="C134" s="84"/>
      <c r="D134" s="34" t="s">
        <v>48</v>
      </c>
      <c r="E134" s="171"/>
    </row>
    <row r="135" spans="1:5" x14ac:dyDescent="0.2">
      <c r="A135" s="13"/>
      <c r="C135" s="84"/>
      <c r="D135" s="34" t="s">
        <v>47</v>
      </c>
      <c r="E135" s="171"/>
    </row>
    <row r="136" spans="1:5" x14ac:dyDescent="0.2">
      <c r="A136" s="13"/>
      <c r="C136" s="84"/>
      <c r="D136" s="34" t="s">
        <v>49</v>
      </c>
      <c r="E136" s="172"/>
    </row>
    <row r="137" spans="1:5" x14ac:dyDescent="0.2">
      <c r="A137" s="10" t="s">
        <v>33</v>
      </c>
      <c r="B137" s="11">
        <v>2011</v>
      </c>
      <c r="C137" s="131"/>
      <c r="D137" s="29" t="s">
        <v>62</v>
      </c>
      <c r="E137" s="38"/>
    </row>
    <row r="138" spans="1:5" x14ac:dyDescent="0.2">
      <c r="A138" s="13"/>
      <c r="C138" s="84"/>
      <c r="D138" s="31" t="s">
        <v>67</v>
      </c>
      <c r="E138" s="39"/>
    </row>
    <row r="139" spans="1:5" x14ac:dyDescent="0.2">
      <c r="A139" s="13"/>
      <c r="C139" s="84"/>
      <c r="D139" s="30" t="s">
        <v>48</v>
      </c>
      <c r="E139" s="39"/>
    </row>
    <row r="140" spans="1:5" x14ac:dyDescent="0.2">
      <c r="A140" s="13"/>
      <c r="C140" s="84"/>
      <c r="D140" s="31" t="s">
        <v>47</v>
      </c>
      <c r="E140" s="128"/>
    </row>
    <row r="141" spans="1:5" x14ac:dyDescent="0.2">
      <c r="A141" s="14"/>
      <c r="B141" s="15"/>
      <c r="C141" s="132"/>
      <c r="D141" s="32" t="s">
        <v>49</v>
      </c>
      <c r="E141" s="129"/>
    </row>
    <row r="142" spans="1:5" x14ac:dyDescent="0.2">
      <c r="A142" s="13" t="s">
        <v>35</v>
      </c>
      <c r="B142">
        <v>2012</v>
      </c>
      <c r="C142" s="84"/>
      <c r="D142" s="31" t="s">
        <v>62</v>
      </c>
      <c r="E142" s="39"/>
    </row>
    <row r="143" spans="1:5" x14ac:dyDescent="0.2">
      <c r="A143" s="13"/>
      <c r="C143" s="84"/>
      <c r="D143" s="31" t="s">
        <v>67</v>
      </c>
      <c r="E143" s="128"/>
    </row>
    <row r="144" spans="1:5" x14ac:dyDescent="0.2">
      <c r="A144" s="13"/>
      <c r="C144" s="84"/>
      <c r="D144" s="31" t="s">
        <v>48</v>
      </c>
      <c r="E144" s="39"/>
    </row>
    <row r="145" spans="1:5" x14ac:dyDescent="0.2">
      <c r="A145" s="13"/>
      <c r="C145" s="84"/>
      <c r="D145" s="31" t="s">
        <v>47</v>
      </c>
      <c r="E145" s="128"/>
    </row>
    <row r="146" spans="1:5" x14ac:dyDescent="0.2">
      <c r="A146" s="13"/>
      <c r="C146" s="84"/>
      <c r="D146" s="31" t="s">
        <v>49</v>
      </c>
      <c r="E146" s="128"/>
    </row>
    <row r="147" spans="1:5" x14ac:dyDescent="0.2">
      <c r="A147" s="10" t="s">
        <v>32</v>
      </c>
      <c r="B147" s="11">
        <v>2013</v>
      </c>
      <c r="C147" s="131"/>
      <c r="D147" s="29" t="s">
        <v>62</v>
      </c>
      <c r="E147" s="184"/>
    </row>
    <row r="148" spans="1:5" x14ac:dyDescent="0.2">
      <c r="A148" s="13"/>
      <c r="C148" s="84"/>
      <c r="D148" s="31" t="s">
        <v>67</v>
      </c>
      <c r="E148" s="128"/>
    </row>
    <row r="149" spans="1:5" x14ac:dyDescent="0.2">
      <c r="A149" s="13"/>
      <c r="C149" s="84"/>
      <c r="D149" s="31" t="s">
        <v>48</v>
      </c>
      <c r="E149" s="128"/>
    </row>
    <row r="150" spans="1:5" x14ac:dyDescent="0.2">
      <c r="A150" s="13"/>
      <c r="C150" s="84"/>
      <c r="D150" s="31" t="s">
        <v>47</v>
      </c>
      <c r="E150" s="39"/>
    </row>
    <row r="151" spans="1:5" x14ac:dyDescent="0.2">
      <c r="A151" s="14"/>
      <c r="B151" s="15"/>
      <c r="C151" s="132"/>
      <c r="D151" s="32" t="s">
        <v>49</v>
      </c>
      <c r="E151" s="37"/>
    </row>
    <row r="152" spans="1:5" x14ac:dyDescent="0.2">
      <c r="A152" s="10" t="s">
        <v>92</v>
      </c>
      <c r="B152" s="11">
        <v>2014</v>
      </c>
      <c r="C152" s="131"/>
      <c r="D152" s="29" t="s">
        <v>62</v>
      </c>
      <c r="E152" s="39"/>
    </row>
    <row r="153" spans="1:5" x14ac:dyDescent="0.2">
      <c r="A153" s="13"/>
      <c r="C153" s="84"/>
      <c r="D153" s="31" t="s">
        <v>67</v>
      </c>
      <c r="E153" s="39"/>
    </row>
    <row r="154" spans="1:5" x14ac:dyDescent="0.2">
      <c r="A154" s="13"/>
      <c r="C154" s="84"/>
      <c r="D154" s="31" t="s">
        <v>48</v>
      </c>
      <c r="E154" s="39"/>
    </row>
    <row r="155" spans="1:5" x14ac:dyDescent="0.2">
      <c r="A155" s="13"/>
      <c r="C155" s="84"/>
      <c r="D155" s="31" t="s">
        <v>47</v>
      </c>
      <c r="E155" s="39"/>
    </row>
    <row r="156" spans="1:5" x14ac:dyDescent="0.2">
      <c r="A156" s="14"/>
      <c r="B156" s="15"/>
      <c r="C156" s="132"/>
      <c r="D156" s="32" t="s">
        <v>49</v>
      </c>
      <c r="E156" s="37"/>
    </row>
    <row r="157" spans="1:5" x14ac:dyDescent="0.2">
      <c r="A157" s="10" t="s">
        <v>93</v>
      </c>
      <c r="B157" s="11">
        <v>2015</v>
      </c>
      <c r="C157" s="131"/>
      <c r="D157" s="29" t="s">
        <v>62</v>
      </c>
      <c r="E157" s="38"/>
    </row>
    <row r="158" spans="1:5" x14ac:dyDescent="0.2">
      <c r="A158" s="13"/>
      <c r="C158" s="84"/>
      <c r="D158" s="30" t="s">
        <v>67</v>
      </c>
      <c r="E158" s="39"/>
    </row>
    <row r="159" spans="1:5" x14ac:dyDescent="0.2">
      <c r="A159" s="13"/>
      <c r="C159" s="84"/>
      <c r="D159" s="31" t="s">
        <v>48</v>
      </c>
      <c r="E159" s="39"/>
    </row>
    <row r="160" spans="1:5" x14ac:dyDescent="0.2">
      <c r="A160" s="13"/>
      <c r="C160" s="84"/>
      <c r="D160" s="31" t="s">
        <v>47</v>
      </c>
      <c r="E160" s="39"/>
    </row>
    <row r="161" spans="1:5" x14ac:dyDescent="0.2">
      <c r="A161" s="14"/>
      <c r="B161" s="15"/>
      <c r="C161" s="132"/>
      <c r="D161" s="32" t="s">
        <v>49</v>
      </c>
      <c r="E161" s="37"/>
    </row>
    <row r="162" spans="1:5" x14ac:dyDescent="0.2">
      <c r="A162" s="10" t="s">
        <v>94</v>
      </c>
      <c r="B162" s="11">
        <v>2016</v>
      </c>
      <c r="C162" s="131"/>
      <c r="D162" s="222" t="s">
        <v>62</v>
      </c>
      <c r="E162" s="38"/>
    </row>
    <row r="163" spans="1:5" x14ac:dyDescent="0.2">
      <c r="A163" s="13"/>
      <c r="C163" s="84"/>
      <c r="D163" s="9" t="s">
        <v>67</v>
      </c>
      <c r="E163" s="39"/>
    </row>
    <row r="164" spans="1:5" x14ac:dyDescent="0.2">
      <c r="A164" s="13"/>
      <c r="C164" s="84"/>
      <c r="D164" t="s">
        <v>48</v>
      </c>
      <c r="E164" s="39"/>
    </row>
    <row r="165" spans="1:5" x14ac:dyDescent="0.2">
      <c r="A165" s="13"/>
      <c r="C165" s="84"/>
      <c r="D165" s="9" t="s">
        <v>47</v>
      </c>
      <c r="E165" s="39"/>
    </row>
    <row r="166" spans="1:5" x14ac:dyDescent="0.2">
      <c r="A166" s="14"/>
      <c r="B166" s="15"/>
      <c r="C166" s="132"/>
      <c r="D166" s="223" t="s">
        <v>49</v>
      </c>
      <c r="E166" s="37"/>
    </row>
    <row r="167" spans="1:5" x14ac:dyDescent="0.2">
      <c r="A167" s="13" t="s">
        <v>95</v>
      </c>
      <c r="B167">
        <v>2017</v>
      </c>
      <c r="C167" s="84"/>
      <c r="D167" t="s">
        <v>62</v>
      </c>
      <c r="E167" s="39"/>
    </row>
    <row r="168" spans="1:5" x14ac:dyDescent="0.2">
      <c r="A168" s="13"/>
      <c r="C168" s="84"/>
      <c r="D168" s="9" t="s">
        <v>67</v>
      </c>
      <c r="E168" s="39"/>
    </row>
    <row r="169" spans="1:5" x14ac:dyDescent="0.2">
      <c r="A169" s="13"/>
      <c r="C169" s="84"/>
      <c r="D169" s="9" t="s">
        <v>48</v>
      </c>
      <c r="E169" s="39"/>
    </row>
    <row r="170" spans="1:5" x14ac:dyDescent="0.2">
      <c r="A170" s="13"/>
      <c r="C170" s="84"/>
      <c r="D170" s="9" t="s">
        <v>47</v>
      </c>
      <c r="E170" s="39"/>
    </row>
    <row r="171" spans="1:5" x14ac:dyDescent="0.2">
      <c r="A171" s="13"/>
      <c r="C171" s="84"/>
      <c r="D171" s="9" t="s">
        <v>49</v>
      </c>
      <c r="E171" s="39"/>
    </row>
    <row r="172" spans="1:5" x14ac:dyDescent="0.2">
      <c r="A172" s="10" t="s">
        <v>96</v>
      </c>
      <c r="B172" s="11">
        <v>2018</v>
      </c>
      <c r="C172" s="131"/>
      <c r="D172" s="9" t="s">
        <v>62</v>
      </c>
      <c r="E172" s="38"/>
    </row>
    <row r="173" spans="1:5" x14ac:dyDescent="0.2">
      <c r="A173" s="13"/>
      <c r="C173" s="84"/>
      <c r="D173" t="s">
        <v>67</v>
      </c>
      <c r="E173" s="39"/>
    </row>
    <row r="174" spans="1:5" x14ac:dyDescent="0.2">
      <c r="A174" s="13"/>
      <c r="C174" s="84"/>
      <c r="D174" s="9" t="s">
        <v>48</v>
      </c>
      <c r="E174" s="39"/>
    </row>
    <row r="175" spans="1:5" x14ac:dyDescent="0.2">
      <c r="A175" s="13"/>
      <c r="C175" s="84"/>
      <c r="D175" t="s">
        <v>47</v>
      </c>
      <c r="E175" s="39"/>
    </row>
    <row r="176" spans="1:5" x14ac:dyDescent="0.2">
      <c r="A176" s="14"/>
      <c r="B176" s="15"/>
      <c r="C176" s="132"/>
      <c r="D176" s="9" t="s">
        <v>49</v>
      </c>
      <c r="E176" s="37"/>
    </row>
    <row r="177" spans="1:5" x14ac:dyDescent="0.2">
      <c r="A177" s="10" t="s">
        <v>189</v>
      </c>
      <c r="B177" s="11">
        <v>2020</v>
      </c>
      <c r="C177" s="131"/>
      <c r="D177" s="9" t="s">
        <v>62</v>
      </c>
      <c r="E177" s="38"/>
    </row>
    <row r="178" spans="1:5" x14ac:dyDescent="0.2">
      <c r="A178" s="13"/>
      <c r="C178" s="84"/>
      <c r="D178" s="9" t="s">
        <v>67</v>
      </c>
      <c r="E178" s="39"/>
    </row>
    <row r="179" spans="1:5" x14ac:dyDescent="0.2">
      <c r="A179" s="13"/>
      <c r="C179" s="84"/>
      <c r="D179" s="9" t="s">
        <v>48</v>
      </c>
      <c r="E179" s="39"/>
    </row>
    <row r="180" spans="1:5" x14ac:dyDescent="0.2">
      <c r="A180" s="13"/>
      <c r="C180" s="84"/>
      <c r="D180" t="s">
        <v>47</v>
      </c>
      <c r="E180" s="39"/>
    </row>
    <row r="181" spans="1:5" x14ac:dyDescent="0.2">
      <c r="A181" s="14"/>
      <c r="B181" s="15"/>
      <c r="C181" s="132"/>
      <c r="D181" s="9" t="s">
        <v>49</v>
      </c>
      <c r="E181" s="37"/>
    </row>
    <row r="182" spans="1:5" x14ac:dyDescent="0.2">
      <c r="A182" s="13" t="s">
        <v>97</v>
      </c>
      <c r="B182">
        <v>2021</v>
      </c>
      <c r="C182" s="84"/>
      <c r="D182" s="11" t="s">
        <v>62</v>
      </c>
      <c r="E182" s="39"/>
    </row>
    <row r="183" spans="1:5" x14ac:dyDescent="0.2">
      <c r="A183" s="13"/>
      <c r="C183" s="84"/>
      <c r="D183" s="9" t="s">
        <v>67</v>
      </c>
      <c r="E183" s="39"/>
    </row>
    <row r="184" spans="1:5" x14ac:dyDescent="0.2">
      <c r="A184" s="13"/>
      <c r="C184" s="84"/>
      <c r="D184" s="9" t="s">
        <v>48</v>
      </c>
      <c r="E184" s="39"/>
    </row>
    <row r="185" spans="1:5" x14ac:dyDescent="0.2">
      <c r="A185" s="13"/>
      <c r="C185" s="84"/>
      <c r="D185" t="s">
        <v>47</v>
      </c>
      <c r="E185" s="39"/>
    </row>
    <row r="186" spans="1:5" x14ac:dyDescent="0.2">
      <c r="A186" s="13"/>
      <c r="C186" s="84"/>
      <c r="D186" s="223" t="s">
        <v>49</v>
      </c>
      <c r="E186" s="39"/>
    </row>
    <row r="187" spans="1:5" x14ac:dyDescent="0.2">
      <c r="A187" s="10" t="s">
        <v>98</v>
      </c>
      <c r="B187" s="11">
        <v>2022</v>
      </c>
      <c r="C187" s="131"/>
      <c r="D187" s="9" t="s">
        <v>62</v>
      </c>
      <c r="E187" s="38"/>
    </row>
    <row r="188" spans="1:5" x14ac:dyDescent="0.2">
      <c r="A188" s="13"/>
      <c r="C188" s="84"/>
      <c r="D188" t="s">
        <v>67</v>
      </c>
      <c r="E188" s="39"/>
    </row>
    <row r="189" spans="1:5" x14ac:dyDescent="0.2">
      <c r="A189" s="13"/>
      <c r="C189" s="84"/>
      <c r="D189" t="s">
        <v>48</v>
      </c>
      <c r="E189" s="39"/>
    </row>
    <row r="190" spans="1:5" x14ac:dyDescent="0.2">
      <c r="A190" s="13"/>
      <c r="C190" s="84"/>
      <c r="D190" t="s">
        <v>47</v>
      </c>
      <c r="E190" s="39"/>
    </row>
    <row r="191" spans="1:5" x14ac:dyDescent="0.2">
      <c r="A191" s="14"/>
      <c r="B191" s="15"/>
      <c r="C191" s="132"/>
      <c r="D191" s="15" t="s">
        <v>49</v>
      </c>
      <c r="E191" s="37"/>
    </row>
    <row r="192" spans="1:5" x14ac:dyDescent="0.2">
      <c r="A192" s="10" t="s">
        <v>34</v>
      </c>
      <c r="B192" s="11">
        <v>2023</v>
      </c>
      <c r="C192" s="131"/>
      <c r="D192" t="s">
        <v>62</v>
      </c>
      <c r="E192" s="38"/>
    </row>
    <row r="193" spans="1:5" x14ac:dyDescent="0.2">
      <c r="A193" s="13"/>
      <c r="C193" s="84"/>
      <c r="D193" s="9" t="s">
        <v>67</v>
      </c>
      <c r="E193" s="39"/>
    </row>
    <row r="194" spans="1:5" x14ac:dyDescent="0.2">
      <c r="A194" s="13"/>
      <c r="C194" s="84"/>
      <c r="D194" t="s">
        <v>48</v>
      </c>
      <c r="E194" s="39"/>
    </row>
    <row r="195" spans="1:5" x14ac:dyDescent="0.2">
      <c r="A195" s="13"/>
      <c r="C195" s="84"/>
      <c r="D195" t="s">
        <v>47</v>
      </c>
      <c r="E195" s="39"/>
    </row>
    <row r="196" spans="1:5" x14ac:dyDescent="0.2">
      <c r="A196" s="14"/>
      <c r="B196" s="15"/>
      <c r="C196" s="132"/>
      <c r="D196" s="15" t="s">
        <v>49</v>
      </c>
      <c r="E196" s="37"/>
    </row>
    <row r="197" spans="1:5" x14ac:dyDescent="0.2">
      <c r="C197" s="84"/>
      <c r="D197"/>
      <c r="E197" s="28"/>
    </row>
    <row r="198" spans="1:5" x14ac:dyDescent="0.2">
      <c r="C198" s="84"/>
      <c r="D198"/>
    </row>
    <row r="199" spans="1:5" x14ac:dyDescent="0.2">
      <c r="A199" s="1" t="s">
        <v>66</v>
      </c>
      <c r="C199" s="133" t="s">
        <v>73</v>
      </c>
      <c r="D199" s="22">
        <f ca="1">AnzahlBackgroundColor(D112:D198)</f>
        <v>64</v>
      </c>
    </row>
    <row r="200" spans="1:5" x14ac:dyDescent="0.2">
      <c r="C200" s="134" t="s">
        <v>74</v>
      </c>
      <c r="D200" s="17">
        <f ca="1">D199+AnzahlBackgroundColor(D112:D176)</f>
        <v>74</v>
      </c>
    </row>
    <row r="201" spans="1:5" x14ac:dyDescent="0.2">
      <c r="C201" s="134" t="s">
        <v>76</v>
      </c>
      <c r="D201" s="139">
        <f ca="1">D199/D200*100</f>
        <v>86.486486486486484</v>
      </c>
    </row>
    <row r="202" spans="1:5" x14ac:dyDescent="0.2">
      <c r="C202" s="135" t="s">
        <v>78</v>
      </c>
      <c r="D202" s="18">
        <f ca="1">D199*2</f>
        <v>128</v>
      </c>
    </row>
    <row r="203" spans="1:5" x14ac:dyDescent="0.2">
      <c r="C203" s="84"/>
      <c r="D203"/>
    </row>
    <row r="204" spans="1:5" x14ac:dyDescent="0.2">
      <c r="A204" s="1" t="s">
        <v>82</v>
      </c>
      <c r="C204" s="84"/>
      <c r="D204"/>
    </row>
    <row r="205" spans="1:5" x14ac:dyDescent="0.2">
      <c r="C205" s="86" t="s">
        <v>81</v>
      </c>
      <c r="D205" s="19">
        <f ca="1">D199+C107</f>
        <v>155</v>
      </c>
    </row>
    <row r="206" spans="1:5" x14ac:dyDescent="0.2">
      <c r="C206" s="86" t="s">
        <v>78</v>
      </c>
      <c r="D206" s="19">
        <f ca="1">D205*2</f>
        <v>310</v>
      </c>
    </row>
    <row r="207" spans="1:5" x14ac:dyDescent="0.2">
      <c r="C207" s="84"/>
      <c r="D207"/>
    </row>
    <row r="208" spans="1:5" x14ac:dyDescent="0.2">
      <c r="C208" s="84"/>
      <c r="D208"/>
    </row>
    <row r="209" spans="1:4" x14ac:dyDescent="0.2">
      <c r="A209" s="26" t="s">
        <v>83</v>
      </c>
      <c r="B209" s="27"/>
      <c r="C209" s="136"/>
      <c r="D209" s="27"/>
    </row>
    <row r="210" spans="1:4" x14ac:dyDescent="0.2">
      <c r="A210" s="27"/>
      <c r="B210" s="27"/>
      <c r="C210" s="136" t="s">
        <v>17</v>
      </c>
      <c r="D210" s="24">
        <f ca="1">Deutschland!AF12</f>
        <v>125.83</v>
      </c>
    </row>
    <row r="211" spans="1:4" x14ac:dyDescent="0.2">
      <c r="A211" s="27"/>
      <c r="B211" s="27"/>
      <c r="C211" s="136" t="s">
        <v>84</v>
      </c>
      <c r="D211" s="24">
        <f ca="1">EU!AH235</f>
        <v>347.72999999999996</v>
      </c>
    </row>
    <row r="212" spans="1:4" ht="16" thickBot="1" x14ac:dyDescent="0.25">
      <c r="A212" s="27"/>
      <c r="B212" s="27"/>
      <c r="C212" s="137" t="s">
        <v>85</v>
      </c>
      <c r="D212" s="25">
        <f ca="1">D206</f>
        <v>310</v>
      </c>
    </row>
    <row r="213" spans="1:4" x14ac:dyDescent="0.2">
      <c r="A213" s="27"/>
      <c r="B213" s="27"/>
      <c r="C213" s="138" t="s">
        <v>75</v>
      </c>
      <c r="D213" s="23">
        <f ca="1">D210+D211+D212</f>
        <v>783.56</v>
      </c>
    </row>
    <row r="216" spans="1:4" x14ac:dyDescent="0.2">
      <c r="A216" s="1" t="s">
        <v>160</v>
      </c>
      <c r="C216" t="s">
        <v>161</v>
      </c>
      <c r="D216" s="84">
        <f ca="1">D205</f>
        <v>155</v>
      </c>
    </row>
    <row r="217" spans="1:4" x14ac:dyDescent="0.2">
      <c r="C217" t="s">
        <v>162</v>
      </c>
      <c r="D217" s="84">
        <f ca="1">Deutschland!AC12</f>
        <v>423</v>
      </c>
    </row>
    <row r="218" spans="1:4" x14ac:dyDescent="0.2">
      <c r="C218" t="s">
        <v>84</v>
      </c>
      <c r="D218" s="84">
        <f ca="1">EU!AE235</f>
        <v>751</v>
      </c>
    </row>
    <row r="219" spans="1:4" x14ac:dyDescent="0.2">
      <c r="C219" s="1" t="s">
        <v>74</v>
      </c>
      <c r="D219" s="119">
        <f ca="1">SUM(D216:D218)</f>
        <v>1329</v>
      </c>
    </row>
  </sheetData>
  <phoneticPr fontId="14" type="noConversion"/>
  <pageMargins left="0.70866141732283461" right="0.70866141732283461" top="0.74803149606299213" bottom="0.74803149606299213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Y24"/>
  <sheetViews>
    <sheetView workbookViewId="0">
      <selection activeCell="D20" sqref="D20"/>
    </sheetView>
  </sheetViews>
  <sheetFormatPr baseColWidth="10" defaultRowHeight="15" x14ac:dyDescent="0.2"/>
  <cols>
    <col min="3" max="3" width="13.33203125" bestFit="1" customWidth="1"/>
  </cols>
  <sheetData>
    <row r="2" spans="1:20" x14ac:dyDescent="0.2">
      <c r="A2" s="40"/>
      <c r="B2" t="s">
        <v>118</v>
      </c>
    </row>
    <row r="3" spans="1:20" x14ac:dyDescent="0.2">
      <c r="A3" s="40"/>
    </row>
    <row r="5" spans="1:20" x14ac:dyDescent="0.2">
      <c r="B5" s="97" t="s">
        <v>114</v>
      </c>
    </row>
    <row r="7" spans="1:20" x14ac:dyDescent="0.2">
      <c r="B7" t="s">
        <v>168</v>
      </c>
    </row>
    <row r="14" spans="1:20" x14ac:dyDescent="0.2">
      <c r="F14" s="41"/>
      <c r="G14" s="41"/>
      <c r="H14" s="41"/>
      <c r="I14" s="41"/>
      <c r="J14" s="41"/>
      <c r="K14" s="41"/>
      <c r="L14" s="41"/>
      <c r="M14" s="41"/>
      <c r="P14" s="41"/>
      <c r="Q14" s="41"/>
    </row>
    <row r="15" spans="1:20" x14ac:dyDescent="0.2">
      <c r="I15" s="41"/>
      <c r="J15" s="41"/>
      <c r="K15" s="41"/>
      <c r="L15" s="41"/>
      <c r="M15" s="41"/>
      <c r="N15" s="41"/>
      <c r="O15" s="41"/>
      <c r="P15" s="41"/>
      <c r="S15" s="41"/>
      <c r="T15" s="41"/>
    </row>
    <row r="16" spans="1:20" x14ac:dyDescent="0.2">
      <c r="I16" s="41"/>
      <c r="J16" s="41"/>
      <c r="K16" s="41"/>
      <c r="L16" s="41"/>
      <c r="M16" s="41"/>
      <c r="N16" s="41"/>
      <c r="O16" s="41"/>
      <c r="P16" s="41"/>
      <c r="S16" s="41"/>
    </row>
    <row r="17" spans="9:25" x14ac:dyDescent="0.2">
      <c r="I17" s="41"/>
      <c r="J17" s="41"/>
      <c r="K17" s="41"/>
      <c r="L17" s="41"/>
      <c r="M17" s="41"/>
      <c r="N17" s="41"/>
      <c r="O17" s="41"/>
      <c r="P17" s="41"/>
      <c r="S17" s="41"/>
    </row>
    <row r="18" spans="9:25" x14ac:dyDescent="0.2">
      <c r="I18" s="41"/>
      <c r="J18" s="41"/>
      <c r="K18" s="41"/>
      <c r="L18" s="41"/>
      <c r="M18" s="41"/>
      <c r="N18" s="41"/>
      <c r="O18" s="41"/>
      <c r="P18" s="41"/>
      <c r="S18" s="41"/>
      <c r="Y18" s="41"/>
    </row>
    <row r="19" spans="9:25" x14ac:dyDescent="0.2">
      <c r="I19" s="41"/>
      <c r="J19" s="41"/>
      <c r="K19" s="41"/>
      <c r="L19" s="41"/>
      <c r="M19" s="41"/>
      <c r="N19" s="41"/>
      <c r="O19" s="41"/>
      <c r="P19" s="41"/>
      <c r="R19" s="41"/>
      <c r="S19" s="41"/>
      <c r="T19" s="41"/>
      <c r="W19" s="41"/>
      <c r="Y19" s="41"/>
    </row>
    <row r="20" spans="9:25" x14ac:dyDescent="0.2">
      <c r="I20" s="41"/>
      <c r="J20" s="41"/>
      <c r="K20" s="41"/>
      <c r="L20" s="41"/>
      <c r="M20" s="41"/>
      <c r="N20" s="41"/>
      <c r="O20" s="41"/>
      <c r="P20" s="41"/>
      <c r="S20" s="41"/>
    </row>
    <row r="21" spans="9:25" x14ac:dyDescent="0.2">
      <c r="I21" s="41"/>
      <c r="J21" s="41"/>
      <c r="K21" s="41"/>
      <c r="L21" s="41"/>
      <c r="M21" s="41"/>
      <c r="N21" s="41"/>
      <c r="O21" s="41"/>
      <c r="P21" s="41"/>
      <c r="R21" s="41"/>
      <c r="S21" s="41"/>
      <c r="X21" s="41"/>
      <c r="Y21" s="41"/>
    </row>
    <row r="22" spans="9:25" x14ac:dyDescent="0.2">
      <c r="I22" s="41"/>
      <c r="J22" s="41"/>
      <c r="K22" s="41"/>
      <c r="L22" s="41"/>
      <c r="M22" s="41"/>
      <c r="N22" s="41"/>
      <c r="O22" s="41"/>
      <c r="P22" s="41"/>
      <c r="S22" s="41"/>
    </row>
    <row r="23" spans="9:25" x14ac:dyDescent="0.2">
      <c r="I23" s="41"/>
      <c r="J23" s="41"/>
      <c r="K23" s="41"/>
      <c r="L23" s="41"/>
      <c r="M23" s="41"/>
      <c r="N23" s="41"/>
      <c r="O23" s="41"/>
      <c r="P23" s="41"/>
      <c r="S23" s="41"/>
    </row>
    <row r="24" spans="9:25" x14ac:dyDescent="0.2">
      <c r="R24" s="41"/>
      <c r="S24" s="41"/>
      <c r="Y24" s="4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Deutschland</vt:lpstr>
      <vt:lpstr>EU</vt:lpstr>
      <vt:lpstr>Sondermünzen</vt:lpstr>
      <vt:lpstr>Notizen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Jannis Born</dc:creator>
  <cp:lastModifiedBy>Jannis Born</cp:lastModifiedBy>
  <dcterms:created xsi:type="dcterms:W3CDTF">2013-08-01T09:55:57Z</dcterms:created>
  <dcterms:modified xsi:type="dcterms:W3CDTF">2024-02-04T17:44:40Z</dcterms:modified>
</cp:coreProperties>
</file>